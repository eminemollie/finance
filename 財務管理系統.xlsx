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資產負債表" sheetId="2" state="visible" r:id="rId2"/>
    <sheet xmlns:r="http://schemas.openxmlformats.org/officeDocument/2006/relationships" name="淨值歷史" sheetId="3" state="visible" r:id="rId3"/>
    <sheet xmlns:r="http://schemas.openxmlformats.org/officeDocument/2006/relationships" name="年度總結" sheetId="4" state="visible" r:id="rId4"/>
    <sheet xmlns:r="http://schemas.openxmlformats.org/officeDocument/2006/relationships" name="股票部位" sheetId="5" state="visible" r:id="rId5"/>
    <sheet xmlns:r="http://schemas.openxmlformats.org/officeDocument/2006/relationships" name="基金配息紀錄" sheetId="6" state="visible" r:id="rId6"/>
    <sheet xmlns:r="http://schemas.openxmlformats.org/officeDocument/2006/relationships" name="收支明細" sheetId="7" state="visible" r:id="rId7"/>
    <sheet xmlns:r="http://schemas.openxmlformats.org/officeDocument/2006/relationships" name="信用卡年支出" sheetId="8" state="visible" r:id="rId8"/>
    <sheet xmlns:r="http://schemas.openxmlformats.org/officeDocument/2006/relationships" name="貸款總覽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他人股票投資" sheetId="12" state="visible" r:id="rId12"/>
  </sheets>
  <definedNames>
    <definedName name="請款單月份清單">'育兒費'!$A$12:$A$62</definedName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62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  <font>
      <name val="Calibri"/>
      <sz val="9"/>
    </font>
    <font>
      <name val="Arial"/>
      <color rgb="FF008000"/>
      <sz val="10"/>
    </font>
    <font>
      <name val="Arial"/>
      <color rgb="FF0000FF"/>
      <sz val="11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rgb="FF008000"/>
      <sz val="11"/>
    </font>
    <font>
      <name val="Arial"/>
      <b val="1"/>
      <color rgb="FFC00000"/>
      <sz val="11"/>
    </font>
    <font>
      <name val="Arial"/>
      <b val="1"/>
      <color rgb="FF0000FF"/>
      <sz val="11"/>
    </font>
    <font>
      <name val="Arial"/>
      <b val="1"/>
      <i val="1"/>
      <color rgb="FF7F7F7F"/>
      <sz val="11"/>
    </font>
    <font>
      <name val="Calibri"/>
      <b val="1"/>
      <color theme="1"/>
      <sz val="11"/>
    </font>
    <font>
      <name val="Arial"/>
      <b val="1"/>
      <color rgb="FF7F7F7F"/>
      <sz val="8"/>
    </font>
    <font>
      <name val="Arial"/>
      <b val="1"/>
      <color rgb="FF0000FF"/>
      <sz val="9"/>
    </font>
    <font>
      <name val="Arial"/>
      <b val="1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50" fillId="0" borderId="0" applyAlignment="1" pivotButton="0" quotePrefix="0" xfId="0">
      <alignment vertical="top" wrapText="1"/>
    </xf>
    <xf numFmtId="0" fontId="49" fillId="0" borderId="7" applyAlignment="1" pivotButton="0" quotePrefix="0" xfId="0">
      <alignment horizontal="center" vertical="center" wrapText="1"/>
    </xf>
    <xf numFmtId="3" fontId="51" fillId="0" borderId="0" applyAlignment="1" pivotButton="0" quotePrefix="0" xfId="0">
      <alignment horizontal="center" vertical="center"/>
    </xf>
    <xf numFmtId="2" fontId="51" fillId="0" borderId="0" applyAlignment="1" pivotButton="0" quotePrefix="0" xfId="0">
      <alignment horizontal="center" vertical="center"/>
    </xf>
    <xf numFmtId="3" fontId="52" fillId="0" borderId="0" applyAlignment="1" pivotButton="0" quotePrefix="0" xfId="0">
      <alignment horizontal="center" vertical="center"/>
    </xf>
    <xf numFmtId="3" fontId="53" fillId="0" borderId="0" applyAlignment="1" pivotButton="0" quotePrefix="0" xfId="0">
      <alignment horizontal="center" vertical="center"/>
    </xf>
    <xf numFmtId="164" fontId="54" fillId="0" borderId="2" applyAlignment="1" pivotButton="0" quotePrefix="0" xfId="0">
      <alignment horizontal="center" vertical="center"/>
    </xf>
    <xf numFmtId="165" fontId="55" fillId="0" borderId="2" applyAlignment="1" pivotButton="0" quotePrefix="0" xfId="0">
      <alignment horizontal="center" vertical="center"/>
    </xf>
    <xf numFmtId="166" fontId="55" fillId="0" borderId="2" applyAlignment="1" pivotButton="0" quotePrefix="0" xfId="0">
      <alignment horizontal="center" vertical="center"/>
    </xf>
    <xf numFmtId="167" fontId="53" fillId="0" borderId="2" applyAlignment="1" pivotButton="0" quotePrefix="0" xfId="0">
      <alignment horizontal="center" vertical="center"/>
    </xf>
    <xf numFmtId="168" fontId="54" fillId="0" borderId="2" applyAlignment="1" pivotButton="0" quotePrefix="0" xfId="0">
      <alignment horizontal="center" vertical="center"/>
    </xf>
    <xf numFmtId="169" fontId="54" fillId="0" borderId="2" applyAlignment="1" pivotButton="0" quotePrefix="0" xfId="0">
      <alignment horizontal="center" vertical="center"/>
    </xf>
    <xf numFmtId="10" fontId="54" fillId="0" borderId="2" applyAlignment="1" pivotButton="0" quotePrefix="0" xfId="0">
      <alignment horizontal="center" vertical="center"/>
    </xf>
    <xf numFmtId="169" fontId="56" fillId="6" borderId="2" applyAlignment="1" pivotButton="0" quotePrefix="0" xfId="0">
      <alignment horizontal="center" vertical="center"/>
    </xf>
    <xf numFmtId="2" fontId="56" fillId="6" borderId="2" applyAlignment="1" pivotButton="0" quotePrefix="0" xfId="0">
      <alignment horizontal="center" vertical="center"/>
    </xf>
    <xf numFmtId="164" fontId="56" fillId="6" borderId="2" applyAlignment="1" pivotButton="0" quotePrefix="0" xfId="0">
      <alignment horizontal="center" vertical="center"/>
    </xf>
    <xf numFmtId="164" fontId="57" fillId="0" borderId="2" applyAlignment="1" pivotButton="0" quotePrefix="0" xfId="0">
      <alignment horizontal="center" vertical="center"/>
    </xf>
    <xf numFmtId="166" fontId="55" fillId="7" borderId="2" applyAlignment="1" pivotButton="0" quotePrefix="0" xfId="0">
      <alignment horizontal="center" vertical="center"/>
    </xf>
    <xf numFmtId="166" fontId="55" fillId="8" borderId="2" applyAlignment="1" pivotButton="0" quotePrefix="0" xfId="0">
      <alignment horizontal="center" vertical="center"/>
    </xf>
    <xf numFmtId="169" fontId="53" fillId="0" borderId="2" applyAlignment="1" pivotButton="0" quotePrefix="0" xfId="0">
      <alignment horizontal="center" vertical="center"/>
    </xf>
    <xf numFmtId="2" fontId="58" fillId="0" borderId="7" pivotButton="0" quotePrefix="0" xfId="0"/>
    <xf numFmtId="3" fontId="58" fillId="0" borderId="7" pivotButton="0" quotePrefix="0" xfId="0"/>
    <xf numFmtId="164" fontId="53" fillId="0" borderId="2" applyAlignment="1" pivotButton="0" quotePrefix="0" xfId="0">
      <alignment horizontal="center" vertical="center"/>
    </xf>
    <xf numFmtId="3" fontId="56" fillId="0" borderId="0" applyAlignment="1" pivotButton="0" quotePrefix="0" xfId="0">
      <alignment horizontal="center" vertical="center"/>
    </xf>
    <xf numFmtId="2" fontId="56" fillId="0" borderId="0" applyAlignment="1" pivotButton="0" quotePrefix="0" xfId="0">
      <alignment horizontal="center" vertical="center"/>
    </xf>
    <xf numFmtId="169" fontId="56" fillId="0" borderId="2" applyAlignment="1" pivotButton="0" quotePrefix="0" xfId="0">
      <alignment horizontal="center" vertical="center"/>
    </xf>
    <xf numFmtId="168" fontId="56" fillId="0" borderId="2" applyAlignment="1" pivotButton="0" quotePrefix="0" xfId="0">
      <alignment horizontal="center" vertical="center"/>
    </xf>
    <xf numFmtId="2" fontId="53" fillId="0" borderId="2" applyAlignment="1" pivotButton="0" quotePrefix="0" xfId="0">
      <alignment horizontal="center" vertical="center"/>
    </xf>
    <xf numFmtId="164" fontId="56" fillId="0" borderId="2" applyAlignment="1" pivotButton="0" quotePrefix="0" xfId="0">
      <alignment horizontal="center" vertical="center"/>
    </xf>
    <xf numFmtId="168" fontId="53" fillId="0" borderId="2" applyAlignment="1" pivotButton="0" quotePrefix="0" xfId="0">
      <alignment horizontal="center" vertical="center"/>
    </xf>
    <xf numFmtId="2" fontId="53" fillId="6" borderId="2" applyAlignment="1" pivotButton="0" quotePrefix="0" xfId="0">
      <alignment horizontal="center" vertical="center"/>
    </xf>
    <xf numFmtId="164" fontId="53" fillId="6" borderId="2" applyAlignment="1" pivotButton="0" quotePrefix="0" xfId="0">
      <alignment horizontal="center" vertical="center"/>
    </xf>
    <xf numFmtId="168" fontId="53" fillId="6" borderId="2" applyAlignment="1" pivotButton="0" quotePrefix="0" xfId="0">
      <alignment horizontal="center" vertical="center"/>
    </xf>
    <xf numFmtId="169" fontId="53" fillId="6" borderId="2" applyAlignment="1" pivotButton="0" quotePrefix="0" xfId="0">
      <alignment horizontal="center" vertical="center"/>
    </xf>
    <xf numFmtId="171" fontId="56" fillId="0" borderId="2" applyAlignment="1" pivotButton="0" quotePrefix="0" xfId="0">
      <alignment horizontal="center" vertical="center"/>
    </xf>
    <xf numFmtId="10" fontId="53" fillId="0" borderId="2" applyAlignment="1" pivotButton="0" quotePrefix="0" xfId="0">
      <alignment horizontal="center" vertical="center"/>
    </xf>
    <xf numFmtId="171" fontId="56" fillId="6" borderId="2" applyAlignment="1" pivotButton="0" quotePrefix="0" xfId="0">
      <alignment horizontal="center" vertical="center"/>
    </xf>
    <xf numFmtId="167" fontId="56" fillId="6" borderId="2" applyAlignment="1" pivotButton="0" quotePrefix="0" xfId="0">
      <alignment horizontal="center" vertical="center"/>
    </xf>
    <xf numFmtId="165" fontId="55" fillId="7" borderId="2" applyAlignment="1" pivotButton="0" quotePrefix="0" xfId="0">
      <alignment horizontal="center" vertical="center"/>
    </xf>
    <xf numFmtId="165" fontId="55" fillId="8" borderId="2" applyAlignment="1" pivotButton="0" quotePrefix="0" xfId="0">
      <alignment horizontal="center" vertical="center"/>
    </xf>
    <xf numFmtId="164" fontId="56" fillId="7" borderId="2" applyAlignment="1" pivotButton="0" quotePrefix="0" xfId="0">
      <alignment horizontal="center" vertical="center"/>
    </xf>
    <xf numFmtId="10" fontId="56" fillId="7" borderId="2" applyAlignment="1" pivotButton="0" quotePrefix="0" xfId="0">
      <alignment horizontal="center" vertical="center"/>
    </xf>
    <xf numFmtId="1" fontId="53" fillId="7" borderId="2" applyAlignment="1" pivotButton="0" quotePrefix="0" xfId="0">
      <alignment horizontal="center" vertical="center"/>
    </xf>
    <xf numFmtId="164" fontId="53" fillId="7" borderId="2" applyAlignment="1" pivotButton="0" quotePrefix="0" xfId="0">
      <alignment horizontal="center" vertical="center"/>
    </xf>
    <xf numFmtId="164" fontId="56" fillId="8" borderId="2" applyAlignment="1" pivotButton="0" quotePrefix="0" xfId="0">
      <alignment horizontal="center" vertical="center"/>
    </xf>
    <xf numFmtId="10" fontId="56" fillId="8" borderId="2" applyAlignment="1" pivotButton="0" quotePrefix="0" xfId="0">
      <alignment horizontal="center" vertical="center"/>
    </xf>
    <xf numFmtId="1" fontId="53" fillId="8" borderId="2" applyAlignment="1" pivotButton="0" quotePrefix="0" xfId="0">
      <alignment horizontal="center" vertical="center"/>
    </xf>
    <xf numFmtId="164" fontId="53" fillId="8" borderId="2" applyAlignment="1" pivotButton="0" quotePrefix="0" xfId="0">
      <alignment horizontal="center" vertical="center"/>
    </xf>
    <xf numFmtId="10" fontId="56" fillId="0" borderId="2" applyAlignment="1" pivotButton="0" quotePrefix="0" xfId="0">
      <alignment horizontal="center" vertical="center"/>
    </xf>
    <xf numFmtId="1" fontId="53" fillId="0" borderId="2" applyAlignment="1" pivotButton="0" quotePrefix="0" xfId="0">
      <alignment horizontal="center" vertical="center"/>
    </xf>
    <xf numFmtId="1" fontId="59" fillId="0" borderId="0" applyAlignment="1" pivotButton="0" quotePrefix="0" xfId="0">
      <alignment horizontal="center" vertical="center"/>
    </xf>
    <xf numFmtId="164" fontId="60" fillId="0" borderId="2" applyAlignment="1" pivotButton="0" quotePrefix="0" xfId="0">
      <alignment horizontal="center" vertical="center"/>
    </xf>
    <xf numFmtId="164" fontId="61" fillId="6" borderId="2" applyAlignment="1" pivotButton="0" quotePrefix="0" xfId="0">
      <alignment horizontal="center" vertical="center"/>
    </xf>
    <xf numFmtId="164" fontId="61" fillId="0" borderId="2" applyAlignment="1" pivotButton="0" quotePrefix="0" xfId="0">
      <alignment horizontal="center" vertical="center"/>
    </xf>
    <xf numFmtId="164" fontId="53" fillId="0" borderId="2" applyAlignment="1" pivotButton="0" quotePrefix="0" xfId="0">
      <alignment horizontal="left" vertical="center"/>
    </xf>
    <xf numFmtId="3" fontId="56" fillId="0" borderId="2" applyAlignment="1" pivotButton="0" quotePrefix="0" xfId="0">
      <alignment horizontal="center" vertical="center"/>
    </xf>
    <xf numFmtId="4" fontId="56" fillId="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2026-09-18 02:01</t>
        </is>
      </c>
      <c r="D2" s="148" t="inlineStr">
        <is>
          <t>（例如：2026/09/03）</t>
        </is>
      </c>
    </row>
    <row r="3"/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230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23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9"/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230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232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233">
        <f>C13/C12</f>
        <v/>
      </c>
      <c r="D15" s="170" t="inlineStr">
        <is>
          <t>總負債 ÷ 總資產，越低越健康</t>
        </is>
      </c>
      <c r="E15" s="141" t="n"/>
      <c r="F15" s="142" t="n"/>
    </row>
    <row r="16"/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230">
        <f>基金配息紀錄!G13</f>
        <v/>
      </c>
    </row>
    <row r="20" ht="15" customHeight="1" s="134">
      <c r="B20" s="143" t="inlineStr">
        <is>
          <t>總持有單位數</t>
        </is>
      </c>
      <c r="C20" s="234">
        <f>基金配息紀錄!H13</f>
        <v/>
      </c>
    </row>
    <row r="21" ht="16.5" customHeight="1" s="134">
      <c r="B21" s="143" t="inlineStr">
        <is>
          <t>加權平均成本(NAV/USD)</t>
        </is>
      </c>
      <c r="C21" s="235">
        <f>基金配息紀錄!I13</f>
        <v/>
      </c>
    </row>
    <row r="22" ht="16.5" customHeight="1" s="134">
      <c r="B22" s="143" t="inlineStr">
        <is>
          <t>近12個月平均年化報酬率</t>
        </is>
      </c>
      <c r="C22" s="236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3"/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8"/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4"/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224">
        <f>資產負債表!C40</f>
        <v/>
      </c>
    </row>
    <row r="38"/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237" t="n">
        <v>73.29000000000001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238" t="n">
        <v>31.864</v>
      </c>
      <c r="D5" s="166" t="inlineStr">
        <is>
          <t>請查詢即期匯率</t>
        </is>
      </c>
    </row>
    <row r="6"/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230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239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239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239" t="n">
        <v>2108034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239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240">
        <f>他人股票投資!C24</f>
        <v/>
      </c>
      <c r="D15" s="161" t="inlineStr">
        <is>
          <t>投機性個股，屬家妍個人資產，不計入淨值</t>
        </is>
      </c>
    </row>
    <row r="16"/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241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241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242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232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232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241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242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7"/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233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243">
        <f>(基金配息紀錄!H13*(C4-基金配息紀錄!I13))</f>
        <v/>
      </c>
      <c r="D31" s="140" t="inlineStr">
        <is>
          <t>＝總單位數×(最新NAV－加權平均成本)</t>
        </is>
      </c>
    </row>
    <row r="32"/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7"/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2026-09-18 02:01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3" customWidth="1" style="134" min="6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3"/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244" t="n">
        <v>73.05</v>
      </c>
      <c r="C5" s="244" t="n">
        <v>31.8</v>
      </c>
      <c r="D5" s="245" t="n">
        <v>18047755.32</v>
      </c>
      <c r="E5" s="245" t="n">
        <v>48579005.32</v>
      </c>
      <c r="F5" s="245" t="n">
        <v>25196830.17</v>
      </c>
      <c r="G5" s="245" t="n">
        <v>23382175.16</v>
      </c>
      <c r="H5" s="225" t="inlineStr">
        <is>
          <t>手動（重新設計當天回填）</t>
        </is>
      </c>
    </row>
    <row r="6" ht="30" customHeight="1" s="134">
      <c r="A6" s="179" t="n">
        <v>46282</v>
      </c>
      <c r="B6" s="244" t="n">
        <v>73.15000000000001</v>
      </c>
      <c r="C6" s="244" t="n">
        <v>31.858</v>
      </c>
      <c r="D6" s="245" t="n">
        <v>18105424</v>
      </c>
      <c r="E6" s="245" t="n">
        <v>48726508</v>
      </c>
      <c r="F6" s="245" t="n">
        <v>25196830</v>
      </c>
      <c r="G6" s="245" t="n">
        <v>23529678</v>
      </c>
      <c r="H6" s="225" t="inlineStr">
        <is>
          <t>MoneyDJ／Frankfurter歐洲央行參考匯率(備援)（每日自動）</t>
        </is>
      </c>
    </row>
    <row r="7" ht="30" customHeight="1" s="134">
      <c r="A7" s="179" t="n">
        <v>46283</v>
      </c>
      <c r="B7" s="244" t="n">
        <v>73.29000000000001</v>
      </c>
      <c r="C7" s="244" t="n">
        <v>31.864</v>
      </c>
      <c r="D7" s="245" t="n">
        <v>18143492</v>
      </c>
      <c r="E7" s="245" t="n">
        <v>48782776</v>
      </c>
      <c r="F7" s="245" t="n">
        <v>25196830</v>
      </c>
      <c r="G7" s="245" t="n">
        <v>23585945</v>
      </c>
      <c r="H7" s="225" t="inlineStr">
        <is>
          <t>MoneyDJ／Frankfurter歐洲央行參考匯率(備援)（每日自動）</t>
        </is>
      </c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7"/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246">
        <f>SUMIFS(基金配息紀錄!F$20:F$51,基金配息紀錄!M$20:M$51,"113年")</f>
        <v/>
      </c>
      <c r="C10" s="246">
        <f>SUMIFS(基金配息紀錄!F$5:F$13,基金配息紀錄!B$5:B$13,"113/*")</f>
        <v/>
      </c>
      <c r="D10" s="246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246">
        <f>SUMIFS(基金配息紀錄!F$20:F$51,基金配息紀錄!M$20:M$51,"114年")</f>
        <v/>
      </c>
      <c r="C11" s="246">
        <f>SUMIFS(基金配息紀錄!F$5:F$13,基金配息紀錄!B$5:B$13,"114/*")</f>
        <v/>
      </c>
      <c r="D11" s="246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246">
        <f>SUMIFS(基金配息紀錄!F$20:F$51,基金配息紀錄!M$20:M$51,"115年")</f>
        <v/>
      </c>
      <c r="C12" s="246">
        <f>SUMIFS(基金配息紀錄!F$5:F$13,基金配息紀錄!B$5:B$13,"115/*")</f>
        <v/>
      </c>
      <c r="D12" s="246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246">
        <f>SUMIFS(基金配息紀錄!F$20:F$51,基金配息紀錄!M$20:M$51,"116年")</f>
        <v/>
      </c>
      <c r="C13" s="246">
        <f>SUMIFS(基金配息紀錄!F$5:F$13,基金配息紀錄!B$5:B$13,"116/*")</f>
        <v/>
      </c>
      <c r="D13" s="246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246">
        <f>SUMIFS(基金配息紀錄!F$20:F$51,基金配息紀錄!M$20:M$51,"117年")</f>
        <v/>
      </c>
      <c r="C14" s="246">
        <f>SUMIFS(基金配息紀錄!F$5:F$13,基金配息紀錄!B$5:B$13,"117/*")</f>
        <v/>
      </c>
      <c r="D14" s="246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13" customWidth="1" style="134" min="5" max="5"/>
    <col width="13" customWidth="1" style="134" min="6" max="6"/>
    <col width="13" customWidth="1" style="134" min="7" max="7"/>
    <col width="13" customWidth="1" style="134" min="8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3"/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247" t="n">
        <v>8000</v>
      </c>
      <c r="D5" s="248" t="n">
        <v>64.92</v>
      </c>
      <c r="E5" s="248" t="n">
        <v>108.05</v>
      </c>
      <c r="F5" s="229" t="n">
        <v>864400</v>
      </c>
      <c r="G5" s="229" t="n">
        <v>345040</v>
      </c>
      <c r="H5" s="128" t="inlineStr">
        <is>
          <t>2026-09-17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247" t="n">
        <v>12000</v>
      </c>
      <c r="D6" s="248" t="n">
        <v>35.66</v>
      </c>
      <c r="E6" s="248" t="n">
        <v>62.7</v>
      </c>
      <c r="F6" s="229" t="n">
        <v>752400</v>
      </c>
      <c r="G6" s="229" t="n">
        <v>324480</v>
      </c>
      <c r="H6" s="128" t="inlineStr">
        <is>
          <t>2026-09-17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247" t="n">
        <v>1091</v>
      </c>
      <c r="D7" s="248" t="n">
        <v>485.79</v>
      </c>
      <c r="E7" s="248" t="n">
        <v>450.26</v>
      </c>
      <c r="F7" s="229" t="n">
        <v>491234</v>
      </c>
      <c r="G7" s="229" t="n">
        <v>-38763</v>
      </c>
      <c r="H7" s="128" t="inlineStr">
        <is>
          <t>2026-09-17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229">
        <f>SUM(F5:F7)</f>
        <v/>
      </c>
      <c r="G8" s="229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3" customWidth="1" style="134" min="4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249" t="n">
        <v>71.447</v>
      </c>
      <c r="D5" s="250" t="n">
        <v>1723.533</v>
      </c>
      <c r="E5" s="251">
        <f>IF(OR(C5="",D5="",F5=""),"",F5/(C5*D5))</f>
        <v/>
      </c>
      <c r="F5" s="252" t="n">
        <v>4000000</v>
      </c>
      <c r="G5" s="246">
        <f>F5</f>
        <v/>
      </c>
      <c r="H5" s="253">
        <f>D5</f>
        <v/>
      </c>
      <c r="I5" s="243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249" t="n">
        <v>74.81</v>
      </c>
      <c r="D6" s="250" t="n">
        <v>3498.549</v>
      </c>
      <c r="E6" s="251">
        <f>IF(OR(C6="",D6="",F6=""),"",F6/(C6*D6))</f>
        <v/>
      </c>
      <c r="F6" s="252" t="n">
        <v>8304663</v>
      </c>
      <c r="G6" s="246">
        <f>G5+F6</f>
        <v/>
      </c>
      <c r="H6" s="253">
        <f>H5+D6</f>
        <v/>
      </c>
      <c r="I6" s="243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249" t="n">
        <v>74.63</v>
      </c>
      <c r="D7" s="250" t="n">
        <v>6.295</v>
      </c>
      <c r="E7" s="251">
        <f>IF(OR(C7="",D7="",F7=""),"",F7/(C7*D7))</f>
        <v/>
      </c>
      <c r="F7" s="252" t="n">
        <v>15000</v>
      </c>
      <c r="G7" s="246">
        <f>G6+F7</f>
        <v/>
      </c>
      <c r="H7" s="253">
        <f>H6+D7</f>
        <v/>
      </c>
      <c r="I7" s="243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249" t="n">
        <v>74.91</v>
      </c>
      <c r="D8" s="250" t="n">
        <v>2519.381</v>
      </c>
      <c r="E8" s="251">
        <f>IF(OR(C8="",D8="",F8=""),"",F8/(C8*D8))</f>
        <v/>
      </c>
      <c r="F8" s="252" t="n">
        <v>5985000</v>
      </c>
      <c r="G8" s="246">
        <f>G7+F8</f>
        <v/>
      </c>
      <c r="H8" s="253">
        <f>H7+D8</f>
        <v/>
      </c>
      <c r="I8" s="243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249" t="n">
        <v>73.56</v>
      </c>
      <c r="D9" s="250" t="n">
        <v>21.434</v>
      </c>
      <c r="E9" s="251">
        <f>IF(OR(C9="",D9="",F9=""),"",F9/(C9*D9))</f>
        <v/>
      </c>
      <c r="F9" s="252" t="n">
        <v>50000</v>
      </c>
      <c r="G9" s="246">
        <f>G8+F9</f>
        <v/>
      </c>
      <c r="H9" s="253">
        <f>H8+D9</f>
        <v/>
      </c>
      <c r="I9" s="243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254">
        <f>IF(OR(C10="",D10="",F10=""),"",F10/(C10*D10))</f>
        <v/>
      </c>
      <c r="F10" s="181" t="n"/>
      <c r="G10" s="255">
        <f>G9+F10</f>
        <v/>
      </c>
      <c r="H10" s="256">
        <f>H9+D10</f>
        <v/>
      </c>
      <c r="I10" s="257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254">
        <f>IF(OR(C11="",D11="",F11=""),"",F11/(C11*D11))</f>
        <v/>
      </c>
      <c r="F11" s="181" t="n"/>
      <c r="G11" s="255">
        <f>G10+F11</f>
        <v/>
      </c>
      <c r="H11" s="256">
        <f>H10+D11</f>
        <v/>
      </c>
      <c r="I11" s="257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254">
        <f>IF(OR(C12="",D12="",F12=""),"",F12/(C12*D12))</f>
        <v/>
      </c>
      <c r="F12" s="181" t="n"/>
      <c r="G12" s="255">
        <f>G11+F12</f>
        <v/>
      </c>
      <c r="H12" s="256">
        <f>H11+D12</f>
        <v/>
      </c>
      <c r="I12" s="257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254">
        <f>IF(OR(C13="",D13="",F13=""),"",F13/(C13*D13))</f>
        <v/>
      </c>
      <c r="F13" s="181" t="n"/>
      <c r="G13" s="255">
        <f>G12+F13</f>
        <v/>
      </c>
      <c r="H13" s="256">
        <f>H12+D13</f>
        <v/>
      </c>
      <c r="I13" s="257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7"/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58" t="n">
        <v>0.666</v>
      </c>
      <c r="D20" s="250" t="n">
        <v>1723.533</v>
      </c>
      <c r="E20" s="243">
        <f>C20*D20</f>
        <v/>
      </c>
      <c r="F20" s="252" t="n">
        <v>34561</v>
      </c>
      <c r="G20" s="251">
        <f>F20/E20</f>
        <v/>
      </c>
      <c r="H20" s="246">
        <f>G$5</f>
        <v/>
      </c>
      <c r="I20" s="259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58" t="n">
        <v>0.677</v>
      </c>
      <c r="D21" s="250" t="n">
        <v>1723.533</v>
      </c>
      <c r="E21" s="243">
        <f>C21*D21</f>
        <v/>
      </c>
      <c r="F21" s="252" t="n">
        <v>34518</v>
      </c>
      <c r="G21" s="251">
        <f>F21/E21</f>
        <v/>
      </c>
      <c r="H21" s="246">
        <f>G$5</f>
        <v/>
      </c>
      <c r="I21" s="259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58" t="n">
        <v>0.6830000000000001</v>
      </c>
      <c r="D22" s="250" t="n">
        <v>1723.533</v>
      </c>
      <c r="E22" s="243">
        <f>C22*D22</f>
        <v/>
      </c>
      <c r="F22" s="252" t="n">
        <v>34453</v>
      </c>
      <c r="G22" s="251">
        <f>F22/E22</f>
        <v/>
      </c>
      <c r="H22" s="246">
        <f>G$5</f>
        <v/>
      </c>
      <c r="I22" s="259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58" t="n">
        <v>0.6850000000000001</v>
      </c>
      <c r="D23" s="250" t="n">
        <v>1723.533</v>
      </c>
      <c r="E23" s="243">
        <f>C23*D23</f>
        <v/>
      </c>
      <c r="F23" s="252" t="n">
        <v>35410</v>
      </c>
      <c r="G23" s="251">
        <f>F23/E23</f>
        <v/>
      </c>
      <c r="H23" s="246">
        <f>G$5</f>
        <v/>
      </c>
      <c r="I23" s="259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58" t="n">
        <v>0.6879999999999999</v>
      </c>
      <c r="D24" s="250" t="n">
        <v>1723.533</v>
      </c>
      <c r="E24" s="243">
        <f>C24*D24</f>
        <v/>
      </c>
      <c r="F24" s="252" t="n">
        <v>35642</v>
      </c>
      <c r="G24" s="251">
        <f>F24/E24</f>
        <v/>
      </c>
      <c r="H24" s="246">
        <f>G$5</f>
        <v/>
      </c>
      <c r="I24" s="259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58" t="n">
        <v>0.6909999999999999</v>
      </c>
      <c r="D25" s="250" t="n">
        <v>1723.533</v>
      </c>
      <c r="E25" s="243">
        <f>C25*D25</f>
        <v/>
      </c>
      <c r="F25" s="252" t="n">
        <v>36494</v>
      </c>
      <c r="G25" s="251">
        <f>F25/E25</f>
        <v/>
      </c>
      <c r="H25" s="246">
        <f>G$5</f>
        <v/>
      </c>
      <c r="I25" s="259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58" t="n">
        <v>0.6840000000000001</v>
      </c>
      <c r="D26" s="250" t="n">
        <v>1723.533</v>
      </c>
      <c r="E26" s="243">
        <f>C26*D26</f>
        <v/>
      </c>
      <c r="F26" s="252" t="n">
        <v>36749</v>
      </c>
      <c r="G26" s="251">
        <f>F26/E26</f>
        <v/>
      </c>
      <c r="H26" s="246">
        <f>G$5</f>
        <v/>
      </c>
      <c r="I26" s="259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58" t="n">
        <v>0.6870000000000001</v>
      </c>
      <c r="D27" s="250" t="n">
        <v>1723.533</v>
      </c>
      <c r="E27" s="243">
        <f>C27*D27</f>
        <v/>
      </c>
      <c r="F27" s="252" t="n">
        <v>37277</v>
      </c>
      <c r="G27" s="251">
        <f>F27/E27</f>
        <v/>
      </c>
      <c r="H27" s="246">
        <f>G$5</f>
        <v/>
      </c>
      <c r="I27" s="259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58" t="n">
        <v>0.6909999999999999</v>
      </c>
      <c r="D28" s="250" t="n">
        <v>1723.533</v>
      </c>
      <c r="E28" s="243">
        <f>C28*D28</f>
        <v/>
      </c>
      <c r="F28" s="252" t="n">
        <v>37572</v>
      </c>
      <c r="G28" s="251">
        <f>F28/E28</f>
        <v/>
      </c>
      <c r="H28" s="246">
        <f>G$5</f>
        <v/>
      </c>
      <c r="I28" s="259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58" t="n">
        <v>0.6929999999999999</v>
      </c>
      <c r="D29" s="250" t="n">
        <v>1723.533</v>
      </c>
      <c r="E29" s="243">
        <f>C29*D29</f>
        <v/>
      </c>
      <c r="F29" s="252" t="n">
        <v>37513</v>
      </c>
      <c r="G29" s="251">
        <f>F29/E29</f>
        <v/>
      </c>
      <c r="H29" s="246">
        <f>G$5</f>
        <v/>
      </c>
      <c r="I29" s="259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58" t="n">
        <v>0.68</v>
      </c>
      <c r="D30" s="250" t="n">
        <v>1723.533</v>
      </c>
      <c r="E30" s="243">
        <f>C30*D30</f>
        <v/>
      </c>
      <c r="F30" s="252" t="n">
        <v>37407</v>
      </c>
      <c r="G30" s="251">
        <f>F30/E30</f>
        <v/>
      </c>
      <c r="H30" s="246">
        <f>G$5</f>
        <v/>
      </c>
      <c r="I30" s="259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58" t="n">
        <v>0.672</v>
      </c>
      <c r="D31" s="250" t="n">
        <v>1723.533</v>
      </c>
      <c r="E31" s="243">
        <f>C31*D31</f>
        <v/>
      </c>
      <c r="F31" s="252" t="n">
        <v>36602</v>
      </c>
      <c r="G31" s="251">
        <f>F31/E31</f>
        <v/>
      </c>
      <c r="H31" s="246">
        <f>G$5</f>
        <v/>
      </c>
      <c r="I31" s="259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58" t="n">
        <v>0.696</v>
      </c>
      <c r="D32" s="250" t="n">
        <v>5222.082</v>
      </c>
      <c r="E32" s="243">
        <f>C32*D32</f>
        <v/>
      </c>
      <c r="F32" s="252" t="n">
        <v>114407</v>
      </c>
      <c r="G32" s="251">
        <f>F32/E32</f>
        <v/>
      </c>
      <c r="H32" s="246">
        <f>G$6</f>
        <v/>
      </c>
      <c r="I32" s="259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58" t="n">
        <v>0.6899999999999999</v>
      </c>
      <c r="D33" s="250" t="n">
        <v>5222.082</v>
      </c>
      <c r="E33" s="243">
        <f>C33*D33</f>
        <v/>
      </c>
      <c r="F33" s="252" t="n">
        <v>113601</v>
      </c>
      <c r="G33" s="251">
        <f>F33/E33</f>
        <v/>
      </c>
      <c r="H33" s="246">
        <f>G$6</f>
        <v/>
      </c>
      <c r="I33" s="259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58" t="n">
        <v>0.6929999999999999</v>
      </c>
      <c r="D34" s="250" t="n">
        <v>5222.082</v>
      </c>
      <c r="E34" s="243">
        <f>C34*D34</f>
        <v/>
      </c>
      <c r="F34" s="252" t="n">
        <v>116483</v>
      </c>
      <c r="G34" s="251">
        <f>F34/E34</f>
        <v/>
      </c>
      <c r="H34" s="246">
        <f>G$6</f>
        <v/>
      </c>
      <c r="I34" s="259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58" t="n">
        <v>0.6919999999999999</v>
      </c>
      <c r="D35" s="250" t="n">
        <v>5222.082</v>
      </c>
      <c r="E35" s="243">
        <f>C35*D35</f>
        <v/>
      </c>
      <c r="F35" s="252" t="n">
        <v>115448</v>
      </c>
      <c r="G35" s="251">
        <f>F35/E35</f>
        <v/>
      </c>
      <c r="H35" s="246">
        <f>G$6</f>
        <v/>
      </c>
      <c r="I35" s="259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60" t="n">
        <v>0.6850000000000001</v>
      </c>
      <c r="D36" s="25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243">
        <f>IF(C36="","",C36*D36)</f>
        <v/>
      </c>
      <c r="F36" s="239" t="n">
        <v>168995</v>
      </c>
      <c r="G36" s="251">
        <f>IF(OR(C36="",F36=""),"",F36/E36)</f>
        <v/>
      </c>
      <c r="H36" s="246">
        <f>G$13</f>
        <v/>
      </c>
      <c r="I36" s="259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25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243">
        <f>IF(C37="","",C37*D37)</f>
        <v/>
      </c>
      <c r="F37" s="181" t="n"/>
      <c r="G37" s="251">
        <f>IF(OR(C37="",F37=""),"",F37/E37)</f>
        <v/>
      </c>
      <c r="H37" s="246">
        <f>G$13</f>
        <v/>
      </c>
      <c r="I37" s="259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25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243">
        <f>IF(C38="","",C38*D38)</f>
        <v/>
      </c>
      <c r="F38" s="181" t="n"/>
      <c r="G38" s="251">
        <f>IF(OR(C38="",F38=""),"",F38/E38)</f>
        <v/>
      </c>
      <c r="H38" s="246">
        <f>G$13</f>
        <v/>
      </c>
      <c r="I38" s="259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25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243">
        <f>IF(C39="","",C39*D39)</f>
        <v/>
      </c>
      <c r="F39" s="181" t="n"/>
      <c r="G39" s="251">
        <f>IF(OR(C39="",F39=""),"",F39/E39)</f>
        <v/>
      </c>
      <c r="H39" s="246">
        <f>G$13</f>
        <v/>
      </c>
      <c r="I39" s="259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25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243">
        <f>IF(C40="","",C40*D40)</f>
        <v/>
      </c>
      <c r="F40" s="181" t="n"/>
      <c r="G40" s="251">
        <f>IF(OR(C40="",F40=""),"",F40/E40)</f>
        <v/>
      </c>
      <c r="H40" s="246">
        <f>G$13</f>
        <v/>
      </c>
      <c r="I40" s="259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25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243">
        <f>IF(C41="","",C41*D41)</f>
        <v/>
      </c>
      <c r="F41" s="181" t="n"/>
      <c r="G41" s="251">
        <f>IF(OR(C41="",F41=""),"",F41/E41)</f>
        <v/>
      </c>
      <c r="H41" s="246">
        <f>G$13</f>
        <v/>
      </c>
      <c r="I41" s="259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25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243">
        <f>IF(C42="","",C42*D42)</f>
        <v/>
      </c>
      <c r="F42" s="181" t="n"/>
      <c r="G42" s="251">
        <f>IF(OR(C42="",F42=""),"",F42/E42)</f>
        <v/>
      </c>
      <c r="H42" s="246">
        <f>G$13</f>
        <v/>
      </c>
      <c r="I42" s="259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25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243">
        <f>IF(C43="","",C43*D43)</f>
        <v/>
      </c>
      <c r="F43" s="181" t="n"/>
      <c r="G43" s="251">
        <f>IF(OR(C43="",F43=""),"",F43/E43)</f>
        <v/>
      </c>
      <c r="H43" s="246">
        <f>G$13</f>
        <v/>
      </c>
      <c r="I43" s="259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25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243">
        <f>IF(C44="","",C44*D44)</f>
        <v/>
      </c>
      <c r="F44" s="181" t="n"/>
      <c r="G44" s="251">
        <f>IF(OR(C44="",F44=""),"",F44/E44)</f>
        <v/>
      </c>
      <c r="H44" s="246">
        <f>G$13</f>
        <v/>
      </c>
      <c r="I44" s="259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25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243">
        <f>IF(C45="","",C45*D45)</f>
        <v/>
      </c>
      <c r="F45" s="181" t="n"/>
      <c r="G45" s="251">
        <f>IF(OR(C45="",F45=""),"",F45/E45)</f>
        <v/>
      </c>
      <c r="H45" s="246">
        <f>G$13</f>
        <v/>
      </c>
      <c r="I45" s="259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25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243">
        <f>IF(C46="","",C46*D46)</f>
        <v/>
      </c>
      <c r="F46" s="181" t="n"/>
      <c r="G46" s="251">
        <f>IF(OR(C46="",F46=""),"",F46/E46)</f>
        <v/>
      </c>
      <c r="H46" s="246">
        <f>G$13</f>
        <v/>
      </c>
      <c r="I46" s="259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25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243">
        <f>IF(C47="","",C47*D47)</f>
        <v/>
      </c>
      <c r="F47" s="181" t="n"/>
      <c r="G47" s="251">
        <f>IF(OR(C47="",F47=""),"",F47/E47)</f>
        <v/>
      </c>
      <c r="H47" s="246">
        <f>G$13</f>
        <v/>
      </c>
      <c r="I47" s="259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25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243">
        <f>IF(C48="","",C48*D48)</f>
        <v/>
      </c>
      <c r="F48" s="181" t="n"/>
      <c r="G48" s="251">
        <f>IF(OR(C48="",F48=""),"",F48/E48)</f>
        <v/>
      </c>
      <c r="H48" s="246">
        <f>G$13</f>
        <v/>
      </c>
      <c r="I48" s="259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25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243">
        <f>IF(C49="","",C49*D49)</f>
        <v/>
      </c>
      <c r="F49" s="181" t="n"/>
      <c r="G49" s="251">
        <f>IF(OR(C49="",F49=""),"",F49/E49)</f>
        <v/>
      </c>
      <c r="H49" s="246">
        <f>G$13</f>
        <v/>
      </c>
      <c r="I49" s="259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25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243">
        <f>IF(C50="","",C50*D50)</f>
        <v/>
      </c>
      <c r="F50" s="181" t="n"/>
      <c r="G50" s="251">
        <f>IF(OR(C50="",F50=""),"",F50/E50)</f>
        <v/>
      </c>
      <c r="H50" s="246">
        <f>G$13</f>
        <v/>
      </c>
      <c r="I50" s="259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25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243">
        <f>IF(C51="","",C51*D51)</f>
        <v/>
      </c>
      <c r="F51" s="181" t="n"/>
      <c r="G51" s="251">
        <f>IF(OR(C51="",F51=""),"",F51/E51)</f>
        <v/>
      </c>
      <c r="H51" s="246">
        <f>G$13</f>
        <v/>
      </c>
      <c r="I51" s="259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2"/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5"/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61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25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25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25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230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3"/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62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62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62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63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63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23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23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23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23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23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23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23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23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23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23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23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3"/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8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13" customWidth="1" style="134" min="5" max="5"/>
    <col width="13" customWidth="1" style="134" min="6" max="6"/>
    <col width="13" customWidth="1" style="134" min="7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2"/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25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25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25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25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25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25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252" t="n">
        <v>-59</v>
      </c>
      <c r="G12" s="192" t="n"/>
      <c r="H12" s="140" t="n"/>
    </row>
    <row r="13"/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252" t="n">
        <v>-3250</v>
      </c>
      <c r="H16" s="27" t="inlineStr">
        <is>
          <t>12期，1150314起</t>
        </is>
      </c>
    </row>
    <row r="17"/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0"/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25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25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25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25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25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25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25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25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25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25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8"/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3" customWidth="1" style="134" min="11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2"/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264" t="n">
        <v>8030000</v>
      </c>
      <c r="F5" s="265" t="n">
        <v>0.0266</v>
      </c>
      <c r="G5" s="32" t="n">
        <v>30</v>
      </c>
      <c r="H5" s="35" t="n">
        <v>46139</v>
      </c>
      <c r="I5" s="266">
        <f>IF(H5="","",DATEDIF(H5,TODAY(),"m"))</f>
        <v/>
      </c>
      <c r="J5" s="267">
        <f>-PMT(F5/12,G5*12,E5)</f>
        <v/>
      </c>
      <c r="K5" s="264" t="n">
        <v>-32400</v>
      </c>
      <c r="L5" s="267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264" t="n">
        <v>8810000</v>
      </c>
      <c r="F6" s="265" t="n">
        <v>0.0255</v>
      </c>
      <c r="G6" s="32" t="n">
        <v>30</v>
      </c>
      <c r="H6" s="35" t="n">
        <v>46139</v>
      </c>
      <c r="I6" s="266">
        <f>IF(H6="","",DATEDIF(H6,TODAY(),"m"))</f>
        <v/>
      </c>
      <c r="J6" s="267">
        <f>-PMT(F6/12,G6*12,E6)</f>
        <v/>
      </c>
      <c r="K6" s="264" t="n">
        <v>-35040</v>
      </c>
      <c r="L6" s="267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268" t="n">
        <v>5985000</v>
      </c>
      <c r="F7" s="269" t="n">
        <v>0.0255</v>
      </c>
      <c r="G7" s="41" t="n">
        <v>30</v>
      </c>
      <c r="H7" s="35" t="n">
        <v>46261</v>
      </c>
      <c r="I7" s="270">
        <f>IF(H7="","",DATEDIF(H7,TODAY(),"m"))</f>
        <v/>
      </c>
      <c r="J7" s="271">
        <f>-PMT(F7/12,G7*12,E7)</f>
        <v/>
      </c>
      <c r="K7" s="268" t="n">
        <v>-23804</v>
      </c>
      <c r="L7" s="27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252" t="n">
        <v>1400000</v>
      </c>
      <c r="F8" s="272" t="n">
        <v>0.0235</v>
      </c>
      <c r="G8" s="46" t="n">
        <v>6</v>
      </c>
      <c r="H8" s="35" t="n">
        <v>46233</v>
      </c>
      <c r="I8" s="273">
        <f>IF(H8="","",DATEDIF(H8,TODAY(),"m"))</f>
        <v/>
      </c>
      <c r="J8" s="246">
        <f>-PMT(F8/12,G8*12,E8)</f>
        <v/>
      </c>
      <c r="K8" s="252" t="n">
        <v>-20892</v>
      </c>
      <c r="L8" s="246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252" t="n">
        <v>200000</v>
      </c>
      <c r="F9" s="272" t="n">
        <v>0.0188</v>
      </c>
      <c r="G9" s="46" t="n">
        <v>3</v>
      </c>
      <c r="H9" s="35" t="n">
        <v>45880</v>
      </c>
      <c r="I9" s="273">
        <f>IF(H9="","",DATEDIF(H9,TODAY(),"m"))</f>
        <v/>
      </c>
      <c r="J9" s="246">
        <f>-PMT(F9/12,G9*12,E9)</f>
        <v/>
      </c>
      <c r="K9" s="252" t="n">
        <v>-5718</v>
      </c>
      <c r="L9" s="246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1"/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264" t="n">
        <v>8000000</v>
      </c>
      <c r="E14" s="264" t="n">
        <v>580000</v>
      </c>
      <c r="F14" s="32" t="n">
        <v>20</v>
      </c>
      <c r="G14" s="30" t="n"/>
      <c r="H14" s="35" t="n">
        <v>46139</v>
      </c>
      <c r="I14" s="266">
        <f>IF(H14="","",DATEDIF(H14,TODAY(),"m"))</f>
        <v/>
      </c>
      <c r="J14" s="30" t="n"/>
      <c r="K14" s="264" t="n">
        <v>-2299</v>
      </c>
      <c r="L14" s="267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268" t="n">
        <v>10440000</v>
      </c>
      <c r="E15" s="268" t="n">
        <v>414625</v>
      </c>
      <c r="F15" s="41" t="n">
        <v>25</v>
      </c>
      <c r="G15" s="39" t="n"/>
      <c r="H15" s="35" t="n">
        <v>46261</v>
      </c>
      <c r="I15" s="270">
        <f>IF(H15="","",DATEDIF(H15,TODAY(),"m"))</f>
        <v/>
      </c>
      <c r="J15" s="39" t="n"/>
      <c r="K15" s="268" t="n">
        <v>-1651</v>
      </c>
      <c r="L15" s="27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7"/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0"/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7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8"/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246">
        <f>SUMIFS(M1:M5000,K1:K5000,A12,L1:L5000,"教育費")</f>
        <v/>
      </c>
      <c r="C12" s="246">
        <f>SUMIFS(M1:M5000,K1:K5000,A12,L1:L5000,"保險費")</f>
        <v/>
      </c>
      <c r="D12" s="246">
        <f>SUMIFS(M1:M5000,K1:K5000,A12,L1:L5000,"醫療費")</f>
        <v/>
      </c>
      <c r="E12" s="246">
        <f>B12+C12+D12</f>
        <v/>
      </c>
      <c r="F12" s="246">
        <f>E12/2</f>
        <v/>
      </c>
      <c r="G12" s="246">
        <f>E12/2</f>
        <v/>
      </c>
      <c r="H12" s="87" t="n"/>
      <c r="J12" s="274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75" t="n">
        <v>3000</v>
      </c>
      <c r="N12" s="92" t="inlineStr">
        <is>
          <t>11301準公托月費(寧)</t>
        </is>
      </c>
      <c r="O12" s="274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246">
        <f>SUMIFS(M1:M5000,K1:K5000,A13,L1:L5000,"教育費")</f>
        <v/>
      </c>
      <c r="C13" s="246">
        <f>SUMIFS(M1:M5000,K1:K5000,A13,L1:L5000,"保險費")</f>
        <v/>
      </c>
      <c r="D13" s="246">
        <f>SUMIFS(M1:M5000,K1:K5000,A13,L1:L5000,"醫療費")</f>
        <v/>
      </c>
      <c r="E13" s="246">
        <f>B13+C13+D13</f>
        <v/>
      </c>
      <c r="F13" s="246">
        <f>E13/2</f>
        <v/>
      </c>
      <c r="G13" s="246">
        <f>E13/2</f>
        <v/>
      </c>
      <c r="H13" s="87" t="n"/>
      <c r="J13" s="274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75" t="n">
        <v>100</v>
      </c>
      <c r="N13" s="92" t="inlineStr">
        <is>
          <t>1130108(維)</t>
        </is>
      </c>
      <c r="O13" s="274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246">
        <f>SUMIFS(M1:M5000,K1:K5000,A14,L1:L5000,"教育費")</f>
        <v/>
      </c>
      <c r="C14" s="246">
        <f>SUMIFS(M1:M5000,K1:K5000,A14,L1:L5000,"保險費")</f>
        <v/>
      </c>
      <c r="D14" s="246">
        <f>SUMIFS(M1:M5000,K1:K5000,A14,L1:L5000,"醫療費")</f>
        <v/>
      </c>
      <c r="E14" s="246">
        <f>B14+C14+D14</f>
        <v/>
      </c>
      <c r="F14" s="246">
        <f>E14/2</f>
        <v/>
      </c>
      <c r="G14" s="246">
        <f>E14/2</f>
        <v/>
      </c>
      <c r="H14" s="87" t="n"/>
      <c r="J14" s="274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75" t="n">
        <v>17100</v>
      </c>
      <c r="N14" s="92" t="inlineStr">
        <is>
          <t>113上學期註冊費(寧)</t>
        </is>
      </c>
      <c r="O14" s="274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246">
        <f>SUMIFS(M1:M5000,K1:K5000,A15,L1:L5000,"教育費")</f>
        <v/>
      </c>
      <c r="C15" s="246">
        <f>SUMIFS(M1:M5000,K1:K5000,A15,L1:L5000,"保險費")</f>
        <v/>
      </c>
      <c r="D15" s="246">
        <f>SUMIFS(M1:M5000,K1:K5000,A15,L1:L5000,"醫療費")</f>
        <v/>
      </c>
      <c r="E15" s="246">
        <f>B15+C15+D15</f>
        <v/>
      </c>
      <c r="F15" s="246">
        <f>E15/2</f>
        <v/>
      </c>
      <c r="G15" s="246">
        <f>E15/2</f>
        <v/>
      </c>
      <c r="H15" s="87" t="n"/>
      <c r="J15" s="274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75" t="n">
        <v>180</v>
      </c>
      <c r="N15" s="92" t="inlineStr">
        <is>
          <t>1130110(寧)</t>
        </is>
      </c>
      <c r="O15" s="274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246">
        <f>SUMIFS(M1:M5000,K1:K5000,A16,L1:L5000,"教育費")</f>
        <v/>
      </c>
      <c r="C16" s="246">
        <f>SUMIFS(M1:M5000,K1:K5000,A16,L1:L5000,"保險費")</f>
        <v/>
      </c>
      <c r="D16" s="246">
        <f>SUMIFS(M1:M5000,K1:K5000,A16,L1:L5000,"醫療費")</f>
        <v/>
      </c>
      <c r="E16" s="246">
        <f>B16+C16+D16</f>
        <v/>
      </c>
      <c r="F16" s="246">
        <f>E16/2</f>
        <v/>
      </c>
      <c r="G16" s="246">
        <f>E16/2</f>
        <v/>
      </c>
      <c r="H16" s="87" t="n"/>
      <c r="J16" s="274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75" t="n">
        <v>5000</v>
      </c>
      <c r="N16" s="92" t="inlineStr">
        <is>
          <t>113幼稚園訂金(維)</t>
        </is>
      </c>
      <c r="O16" s="274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246">
        <f>SUMIFS(M1:M5000,K1:K5000,A17,L1:L5000,"教育費")</f>
        <v/>
      </c>
      <c r="C17" s="246">
        <f>SUMIFS(M1:M5000,K1:K5000,A17,L1:L5000,"保險費")</f>
        <v/>
      </c>
      <c r="D17" s="246">
        <f>SUMIFS(M1:M5000,K1:K5000,A17,L1:L5000,"醫療費")</f>
        <v/>
      </c>
      <c r="E17" s="246">
        <f>B17+C17+D17</f>
        <v/>
      </c>
      <c r="F17" s="246">
        <f>E17/2</f>
        <v/>
      </c>
      <c r="G17" s="246">
        <f>E17/2</f>
        <v/>
      </c>
      <c r="H17" s="87" t="n"/>
      <c r="J17" s="274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75" t="n">
        <v>250</v>
      </c>
      <c r="N17" s="92" t="inlineStr">
        <is>
          <t>1130123(寧)</t>
        </is>
      </c>
      <c r="O17" s="274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246">
        <f>SUMIFS(M1:M5000,K1:K5000,A18,L1:L5000,"教育費")</f>
        <v/>
      </c>
      <c r="C18" s="246">
        <f>SUMIFS(M1:M5000,K1:K5000,A18,L1:L5000,"保險費")</f>
        <v/>
      </c>
      <c r="D18" s="246">
        <f>SUMIFS(M1:M5000,K1:K5000,A18,L1:L5000,"醫療費")</f>
        <v/>
      </c>
      <c r="E18" s="246">
        <f>B18+C18+D18</f>
        <v/>
      </c>
      <c r="F18" s="246">
        <f>E18/2</f>
        <v/>
      </c>
      <c r="G18" s="246">
        <f>E18/2</f>
        <v/>
      </c>
      <c r="H18" s="87" t="n"/>
      <c r="J18" s="274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75" t="n">
        <v>480</v>
      </c>
      <c r="N18" s="92" t="inlineStr">
        <is>
          <t>1130129(維)</t>
        </is>
      </c>
      <c r="O18" s="274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246">
        <f>SUMIFS(M1:M5000,K1:K5000,A19,L1:L5000,"教育費")</f>
        <v/>
      </c>
      <c r="C19" s="246">
        <f>SUMIFS(M1:M5000,K1:K5000,A19,L1:L5000,"保險費")</f>
        <v/>
      </c>
      <c r="D19" s="246">
        <f>SUMIFS(M1:M5000,K1:K5000,A19,L1:L5000,"醫療費")</f>
        <v/>
      </c>
      <c r="E19" s="246">
        <f>B19+C19+D19</f>
        <v/>
      </c>
      <c r="F19" s="246">
        <f>E19/2</f>
        <v/>
      </c>
      <c r="G19" s="246">
        <f>E19/2</f>
        <v/>
      </c>
      <c r="H19" s="87" t="n"/>
      <c r="J19" s="274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75" t="n">
        <v>200</v>
      </c>
      <c r="N19" s="92" t="inlineStr">
        <is>
          <t>1130131(寧)</t>
        </is>
      </c>
      <c r="O19" s="274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246">
        <f>SUMIFS(M1:M5000,K1:K5000,A20,L1:L5000,"教育費")</f>
        <v/>
      </c>
      <c r="C20" s="246">
        <f>SUMIFS(M1:M5000,K1:K5000,A20,L1:L5000,"保險費")</f>
        <v/>
      </c>
      <c r="D20" s="246">
        <f>SUMIFS(M1:M5000,K1:K5000,A20,L1:L5000,"醫療費")</f>
        <v/>
      </c>
      <c r="E20" s="246">
        <f>B20+C20+D20</f>
        <v/>
      </c>
      <c r="F20" s="246">
        <f>E20/2</f>
        <v/>
      </c>
      <c r="G20" s="246">
        <f>E20/2</f>
        <v/>
      </c>
      <c r="H20" s="87" t="n"/>
      <c r="J20" s="274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75" t="n">
        <v>2575</v>
      </c>
      <c r="N20" s="92" t="inlineStr">
        <is>
          <t>11302準公托月費(寧)</t>
        </is>
      </c>
      <c r="O20" s="274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246">
        <f>SUMIFS(M1:M5000,K1:K5000,A21,L1:L5000,"教育費")</f>
        <v/>
      </c>
      <c r="C21" s="246">
        <f>SUMIFS(M1:M5000,K1:K5000,A21,L1:L5000,"保險費")</f>
        <v/>
      </c>
      <c r="D21" s="246">
        <f>SUMIFS(M1:M5000,K1:K5000,A21,L1:L5000,"醫療費")</f>
        <v/>
      </c>
      <c r="E21" s="246">
        <f>B21+C21+D21</f>
        <v/>
      </c>
      <c r="F21" s="246">
        <f>E21/2</f>
        <v/>
      </c>
      <c r="G21" s="246">
        <f>E21/2</f>
        <v/>
      </c>
      <c r="H21" s="87" t="n"/>
      <c r="J21" s="274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75" t="n">
        <v>370</v>
      </c>
      <c r="N21" s="92" t="inlineStr">
        <is>
          <t>1130201(維)</t>
        </is>
      </c>
      <c r="O21" s="274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246">
        <f>SUMIFS(M1:M5000,K1:K5000,A22,L1:L5000,"教育費")</f>
        <v/>
      </c>
      <c r="C22" s="246">
        <f>SUMIFS(M1:M5000,K1:K5000,A22,L1:L5000,"保險費")</f>
        <v/>
      </c>
      <c r="D22" s="246">
        <f>SUMIFS(M1:M5000,K1:K5000,A22,L1:L5000,"醫療費")</f>
        <v/>
      </c>
      <c r="E22" s="246">
        <f>B22+C22+D22</f>
        <v/>
      </c>
      <c r="F22" s="246">
        <f>E22/2</f>
        <v/>
      </c>
      <c r="G22" s="246">
        <f>E22/2</f>
        <v/>
      </c>
      <c r="H22" s="87" t="n"/>
      <c r="J22" s="274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75" t="n">
        <v>13600</v>
      </c>
      <c r="N22" s="92" t="inlineStr">
        <is>
          <t>113上學期才藝費(寧)</t>
        </is>
      </c>
      <c r="O22" s="274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246">
        <f>SUMIFS(M1:M5000,K1:K5000,A23,L1:L5000,"教育費")</f>
        <v/>
      </c>
      <c r="C23" s="246">
        <f>SUMIFS(M1:M5000,K1:K5000,A23,L1:L5000,"保險費")</f>
        <v/>
      </c>
      <c r="D23" s="246">
        <f>SUMIFS(M1:M5000,K1:K5000,A23,L1:L5000,"醫療費")</f>
        <v/>
      </c>
      <c r="E23" s="246">
        <f>B23+C23+D23</f>
        <v/>
      </c>
      <c r="F23" s="246">
        <f>E23/2</f>
        <v/>
      </c>
      <c r="G23" s="246">
        <f>E23/2</f>
        <v/>
      </c>
      <c r="H23" s="87" t="n"/>
      <c r="J23" s="274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75" t="n">
        <v>3000</v>
      </c>
      <c r="N23" s="92" t="inlineStr">
        <is>
          <t>11303準公托月費(寧)</t>
        </is>
      </c>
      <c r="O23" s="274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246">
        <f>SUMIFS(M1:M5000,K1:K5000,A24,L1:L5000,"教育費")</f>
        <v/>
      </c>
      <c r="C24" s="246">
        <f>SUMIFS(M1:M5000,K1:K5000,A24,L1:L5000,"保險費")</f>
        <v/>
      </c>
      <c r="D24" s="246">
        <f>SUMIFS(M1:M5000,K1:K5000,A24,L1:L5000,"醫療費")</f>
        <v/>
      </c>
      <c r="E24" s="246">
        <f>B24+C24+D24</f>
        <v/>
      </c>
      <c r="F24" s="246">
        <f>E24/2</f>
        <v/>
      </c>
      <c r="G24" s="246">
        <f>E24/2</f>
        <v/>
      </c>
      <c r="H24" s="87" t="n"/>
      <c r="J24" s="274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75" t="n">
        <v>14737</v>
      </c>
      <c r="N24" s="92" t="inlineStr">
        <is>
          <t>113全球人壽(維)</t>
        </is>
      </c>
      <c r="O24" s="274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246">
        <f>SUMIFS(M1:M5000,K1:K5000,A25,L1:L5000,"教育費")</f>
        <v/>
      </c>
      <c r="C25" s="246">
        <f>SUMIFS(M1:M5000,K1:K5000,A25,L1:L5000,"保險費")</f>
        <v/>
      </c>
      <c r="D25" s="246">
        <f>SUMIFS(M1:M5000,K1:K5000,A25,L1:L5000,"醫療費")</f>
        <v/>
      </c>
      <c r="E25" s="246">
        <f>B25+C25+D25</f>
        <v/>
      </c>
      <c r="F25" s="246">
        <f>E25/2</f>
        <v/>
      </c>
      <c r="G25" s="246">
        <f>E25/2</f>
        <v/>
      </c>
      <c r="H25" s="87" t="n"/>
      <c r="J25" s="274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75" t="n">
        <v>150</v>
      </c>
      <c r="N25" s="92" t="inlineStr">
        <is>
          <t>1130304(維)</t>
        </is>
      </c>
      <c r="O25" s="274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246">
        <f>SUMIFS(M1:M5000,K1:K5000,A26,L1:L5000,"教育費")</f>
        <v/>
      </c>
      <c r="C26" s="246">
        <f>SUMIFS(M1:M5000,K1:K5000,A26,L1:L5000,"保險費")</f>
        <v/>
      </c>
      <c r="D26" s="246">
        <f>SUMIFS(M1:M5000,K1:K5000,A26,L1:L5000,"醫療費")</f>
        <v/>
      </c>
      <c r="E26" s="246">
        <f>B26+C26+D26</f>
        <v/>
      </c>
      <c r="F26" s="246">
        <f>E26/2</f>
        <v/>
      </c>
      <c r="G26" s="246">
        <f>E26/2</f>
        <v/>
      </c>
      <c r="H26" s="87" t="n"/>
      <c r="J26" s="274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75" t="n">
        <v>3000</v>
      </c>
      <c r="N26" s="94" t="inlineStr">
        <is>
          <t>甲子園畢業紀念冊(寧)</t>
        </is>
      </c>
      <c r="O26" s="274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246">
        <f>SUMIFS(M1:M5000,K1:K5000,A27,L1:L5000,"教育費")</f>
        <v/>
      </c>
      <c r="C27" s="246">
        <f>SUMIFS(M1:M5000,K1:K5000,A27,L1:L5000,"保險費")</f>
        <v/>
      </c>
      <c r="D27" s="246">
        <f>SUMIFS(M1:M5000,K1:K5000,A27,L1:L5000,"醫療費")</f>
        <v/>
      </c>
      <c r="E27" s="246">
        <f>B27+C27+D27</f>
        <v/>
      </c>
      <c r="F27" s="246">
        <f>E27/2</f>
        <v/>
      </c>
      <c r="G27" s="246">
        <f>E27/2</f>
        <v/>
      </c>
      <c r="H27" s="87" t="n"/>
      <c r="J27" s="274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75" t="n">
        <v>1614</v>
      </c>
      <c r="N27" s="92" t="inlineStr">
        <is>
          <t>113新安產險(維)</t>
        </is>
      </c>
      <c r="O27" s="274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246">
        <f>SUMIFS(M1:M5000,K1:K5000,A28,L1:L5000,"教育費")</f>
        <v/>
      </c>
      <c r="C28" s="246">
        <f>SUMIFS(M1:M5000,K1:K5000,A28,L1:L5000,"保險費")</f>
        <v/>
      </c>
      <c r="D28" s="246">
        <f>SUMIFS(M1:M5000,K1:K5000,A28,L1:L5000,"醫療費")</f>
        <v/>
      </c>
      <c r="E28" s="246">
        <f>B28+C28+D28</f>
        <v/>
      </c>
      <c r="F28" s="246">
        <f>E28/2</f>
        <v/>
      </c>
      <c r="G28" s="246">
        <f>E28/2</f>
        <v/>
      </c>
      <c r="H28" s="87" t="n"/>
      <c r="J28" s="274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75" t="n">
        <v>200</v>
      </c>
      <c r="N28" s="92" t="inlineStr">
        <is>
          <t>1130304(寧)</t>
        </is>
      </c>
      <c r="O28" s="274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246">
        <f>SUMIFS(M1:M5000,K1:K5000,A29,L1:L5000,"教育費")</f>
        <v/>
      </c>
      <c r="C29" s="246">
        <f>SUMIFS(M1:M5000,K1:K5000,A29,L1:L5000,"保險費")</f>
        <v/>
      </c>
      <c r="D29" s="246">
        <f>SUMIFS(M1:M5000,K1:K5000,A29,L1:L5000,"醫療費")</f>
        <v/>
      </c>
      <c r="E29" s="246">
        <f>B29+C29+D29</f>
        <v/>
      </c>
      <c r="F29" s="246">
        <f>E29/2</f>
        <v/>
      </c>
      <c r="G29" s="246">
        <f>E29/2</f>
        <v/>
      </c>
      <c r="H29" s="87" t="n"/>
      <c r="J29" s="274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75" t="n">
        <v>50</v>
      </c>
      <c r="N29" s="92" t="inlineStr">
        <is>
          <t>1130306(寧)</t>
        </is>
      </c>
      <c r="O29" s="274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246">
        <f>SUMIFS(M1:M5000,K1:K5000,A30,L1:L5000,"教育費")</f>
        <v/>
      </c>
      <c r="C30" s="246">
        <f>SUMIFS(M1:M5000,K1:K5000,A30,L1:L5000,"保險費")</f>
        <v/>
      </c>
      <c r="D30" s="246">
        <f>SUMIFS(M1:M5000,K1:K5000,A30,L1:L5000,"醫療費")</f>
        <v/>
      </c>
      <c r="E30" s="246">
        <f>B30+C30+D30</f>
        <v/>
      </c>
      <c r="F30" s="246">
        <f>E30/2</f>
        <v/>
      </c>
      <c r="G30" s="246">
        <f>E30/2</f>
        <v/>
      </c>
      <c r="H30" s="87" t="n"/>
      <c r="J30" s="274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75" t="n">
        <v>710</v>
      </c>
      <c r="N30" s="92" t="inlineStr">
        <is>
          <t>1130306(維)</t>
        </is>
      </c>
      <c r="O30" s="274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246">
        <f>SUMIFS(M1:M5000,K1:K5000,A31,L1:L5000,"教育費")</f>
        <v/>
      </c>
      <c r="C31" s="246">
        <f>SUMIFS(M1:M5000,K1:K5000,A31,L1:L5000,"保險費")</f>
        <v/>
      </c>
      <c r="D31" s="246">
        <f>SUMIFS(M1:M5000,K1:K5000,A31,L1:L5000,"醫療費")</f>
        <v/>
      </c>
      <c r="E31" s="246">
        <f>B31+C31+D31</f>
        <v/>
      </c>
      <c r="F31" s="246">
        <f>E31/2</f>
        <v/>
      </c>
      <c r="G31" s="246">
        <f>E31/2</f>
        <v/>
      </c>
      <c r="H31" s="87" t="n"/>
      <c r="J31" s="274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75" t="n">
        <v>150</v>
      </c>
      <c r="N31" s="92" t="inlineStr">
        <is>
          <t>1130311(維)</t>
        </is>
      </c>
      <c r="O31" s="274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246">
        <f>SUMIFS(M1:M5000,K1:K5000,A32,L1:L5000,"教育費")</f>
        <v/>
      </c>
      <c r="C32" s="246">
        <f>SUMIFS(M1:M5000,K1:K5000,A32,L1:L5000,"保險費")</f>
        <v/>
      </c>
      <c r="D32" s="246">
        <f>SUMIFS(M1:M5000,K1:K5000,A32,L1:L5000,"醫療費")</f>
        <v/>
      </c>
      <c r="E32" s="246">
        <f>B32+C32+D32</f>
        <v/>
      </c>
      <c r="F32" s="246">
        <f>E32/2</f>
        <v/>
      </c>
      <c r="G32" s="246">
        <f>E32/2</f>
        <v/>
      </c>
      <c r="H32" s="87" t="n"/>
      <c r="J32" s="274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75" t="n">
        <v>180</v>
      </c>
      <c r="N32" s="92" t="inlineStr">
        <is>
          <t>1130320(寧)</t>
        </is>
      </c>
      <c r="O32" s="274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246">
        <f>SUMIFS(M1:M5000,K1:K5000,A33,L1:L5000,"教育費")</f>
        <v/>
      </c>
      <c r="C33" s="246">
        <f>SUMIFS(M1:M5000,K1:K5000,A33,L1:L5000,"保險費")</f>
        <v/>
      </c>
      <c r="D33" s="246">
        <f>SUMIFS(M1:M5000,K1:K5000,A33,L1:L5000,"醫療費")</f>
        <v/>
      </c>
      <c r="E33" s="246">
        <f>B33+C33+D33</f>
        <v/>
      </c>
      <c r="F33" s="246">
        <f>E33/2</f>
        <v/>
      </c>
      <c r="G33" s="246">
        <f>E33/2</f>
        <v/>
      </c>
      <c r="H33" s="87" t="n"/>
      <c r="J33" s="274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75" t="n">
        <v>200</v>
      </c>
      <c r="N33" s="92" t="inlineStr">
        <is>
          <t>1130320(寧)</t>
        </is>
      </c>
      <c r="O33" s="274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246">
        <f>SUMIFS(M1:M5000,K1:K5000,A34,L1:L5000,"教育費")</f>
        <v/>
      </c>
      <c r="C34" s="246">
        <f>SUMIFS(M1:M5000,K1:K5000,A34,L1:L5000,"保險費")</f>
        <v/>
      </c>
      <c r="D34" s="246">
        <f>SUMIFS(M1:M5000,K1:K5000,A34,L1:L5000,"醫療費")</f>
        <v/>
      </c>
      <c r="E34" s="246">
        <f>B34+C34+D34</f>
        <v/>
      </c>
      <c r="F34" s="246">
        <f>E34/2</f>
        <v/>
      </c>
      <c r="G34" s="246">
        <f>E34/2</f>
        <v/>
      </c>
      <c r="H34" s="87" t="n"/>
      <c r="J34" s="274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75" t="n">
        <v>3000</v>
      </c>
      <c r="N34" s="92" t="inlineStr">
        <is>
          <t>11304準公托月費(寧)</t>
        </is>
      </c>
      <c r="O34" s="274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246">
        <f>SUMIFS(M1:M5000,K1:K5000,A35,L1:L5000,"教育費")</f>
        <v/>
      </c>
      <c r="C35" s="246">
        <f>SUMIFS(M1:M5000,K1:K5000,A35,L1:L5000,"保險費")</f>
        <v/>
      </c>
      <c r="D35" s="246">
        <f>SUMIFS(M1:M5000,K1:K5000,A35,L1:L5000,"醫療費")</f>
        <v/>
      </c>
      <c r="E35" s="246">
        <f>B35+C35+D35</f>
        <v/>
      </c>
      <c r="F35" s="246">
        <f>E35/2</f>
        <v/>
      </c>
      <c r="G35" s="246">
        <f>E35/2</f>
        <v/>
      </c>
      <c r="H35" s="87" t="n"/>
      <c r="J35" s="274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75" t="n">
        <v>8537</v>
      </c>
      <c r="N35" s="92" t="inlineStr">
        <is>
          <t>113台灣人壽(維)</t>
        </is>
      </c>
      <c r="O35" s="274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246">
        <f>SUMIFS(M1:M5000,K1:K5000,A36,L1:L5000,"教育費")</f>
        <v/>
      </c>
      <c r="C36" s="246">
        <f>SUMIFS(M1:M5000,K1:K5000,A36,L1:L5000,"保險費")</f>
        <v/>
      </c>
      <c r="D36" s="246">
        <f>SUMIFS(M1:M5000,K1:K5000,A36,L1:L5000,"醫療費")</f>
        <v/>
      </c>
      <c r="E36" s="246">
        <f>B36+C36+D36</f>
        <v/>
      </c>
      <c r="F36" s="246">
        <f>E36/2</f>
        <v/>
      </c>
      <c r="G36" s="246">
        <f>E36/2</f>
        <v/>
      </c>
      <c r="H36" s="87" t="n"/>
      <c r="J36" s="274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75" t="n">
        <v>150</v>
      </c>
      <c r="N36" s="92" t="inlineStr">
        <is>
          <t>1130416(維)</t>
        </is>
      </c>
      <c r="O36" s="274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246">
        <f>SUMIFS(M1:M5000,K1:K5000,A37,L1:L5000,"教育費")</f>
        <v/>
      </c>
      <c r="C37" s="246">
        <f>SUMIFS(M1:M5000,K1:K5000,A37,L1:L5000,"保險費")</f>
        <v/>
      </c>
      <c r="D37" s="246">
        <f>SUMIFS(M1:M5000,K1:K5000,A37,L1:L5000,"醫療費")</f>
        <v/>
      </c>
      <c r="E37" s="246">
        <f>B37+C37+D37</f>
        <v/>
      </c>
      <c r="F37" s="246">
        <f>E37/2</f>
        <v/>
      </c>
      <c r="G37" s="246">
        <f>E37/2</f>
        <v/>
      </c>
      <c r="H37" s="87" t="n"/>
      <c r="J37" s="274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75" t="n">
        <v>2000</v>
      </c>
      <c r="N37" s="92" t="inlineStr">
        <is>
          <t>11308小一先修(寧)</t>
        </is>
      </c>
      <c r="O37" s="274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246">
        <f>SUMIFS(M1:M5000,K1:K5000,A38,L1:L5000,"教育費")</f>
        <v/>
      </c>
      <c r="C38" s="246">
        <f>SUMIFS(M1:M5000,K1:K5000,A38,L1:L5000,"保險費")</f>
        <v/>
      </c>
      <c r="D38" s="246">
        <f>SUMIFS(M1:M5000,K1:K5000,A38,L1:L5000,"醫療費")</f>
        <v/>
      </c>
      <c r="E38" s="246">
        <f>B38+C38+D38</f>
        <v/>
      </c>
      <c r="F38" s="246">
        <f>E38/2</f>
        <v/>
      </c>
      <c r="G38" s="246">
        <f>E38/2</f>
        <v/>
      </c>
      <c r="H38" s="87" t="n"/>
      <c r="J38" s="274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75" t="n">
        <v>1000</v>
      </c>
      <c r="N38" s="92" t="inlineStr">
        <is>
          <t>11309安親班訂金(寧)</t>
        </is>
      </c>
      <c r="O38" s="274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246">
        <f>SUMIFS(M1:M5000,K1:K5000,A39,L1:L5000,"教育費")</f>
        <v/>
      </c>
      <c r="C39" s="246">
        <f>SUMIFS(M1:M5000,K1:K5000,A39,L1:L5000,"保險費")</f>
        <v/>
      </c>
      <c r="D39" s="246">
        <f>SUMIFS(M1:M5000,K1:K5000,A39,L1:L5000,"醫療費")</f>
        <v/>
      </c>
      <c r="E39" s="246">
        <f>B39+C39+D39</f>
        <v/>
      </c>
      <c r="F39" s="246">
        <f>E39/2</f>
        <v/>
      </c>
      <c r="G39" s="246">
        <f>E39/2</f>
        <v/>
      </c>
      <c r="H39" s="87" t="n"/>
      <c r="J39" s="274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75" t="n">
        <v>3000</v>
      </c>
      <c r="N39" s="92" t="inlineStr">
        <is>
          <t>11305準公托月費(寧)</t>
        </is>
      </c>
      <c r="O39" s="274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246">
        <f>SUMIFS(M1:M5000,K1:K5000,A40,L1:L5000,"教育費")</f>
        <v/>
      </c>
      <c r="C40" s="246">
        <f>SUMIFS(M1:M5000,K1:K5000,A40,L1:L5000,"保險費")</f>
        <v/>
      </c>
      <c r="D40" s="246">
        <f>SUMIFS(M1:M5000,K1:K5000,A40,L1:L5000,"醫療費")</f>
        <v/>
      </c>
      <c r="E40" s="246">
        <f>B40+C40+D40</f>
        <v/>
      </c>
      <c r="F40" s="246">
        <f>E40/2</f>
        <v/>
      </c>
      <c r="G40" s="246">
        <f>E40/2</f>
        <v/>
      </c>
      <c r="H40" s="87" t="n"/>
      <c r="J40" s="274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75" t="n">
        <v>150</v>
      </c>
      <c r="N40" s="92" t="inlineStr">
        <is>
          <t>1130506(維)</t>
        </is>
      </c>
      <c r="O40" s="274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246">
        <f>SUMIFS(M1:M5000,K1:K5000,A41,L1:L5000,"教育費")</f>
        <v/>
      </c>
      <c r="C41" s="246">
        <f>SUMIFS(M1:M5000,K1:K5000,A41,L1:L5000,"保險費")</f>
        <v/>
      </c>
      <c r="D41" s="246">
        <f>SUMIFS(M1:M5000,K1:K5000,A41,L1:L5000,"醫療費")</f>
        <v/>
      </c>
      <c r="E41" s="246">
        <f>B41+C41+D41</f>
        <v/>
      </c>
      <c r="F41" s="246">
        <f>E41/2</f>
        <v/>
      </c>
      <c r="G41" s="246">
        <f>E41/2</f>
        <v/>
      </c>
      <c r="H41" s="87" t="n"/>
      <c r="J41" s="274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75" t="n">
        <v>150</v>
      </c>
      <c r="N41" s="92" t="inlineStr">
        <is>
          <t>1130513(維)</t>
        </is>
      </c>
      <c r="O41" s="274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246">
        <f>SUMIFS(M1:M5000,K1:K5000,A42,L1:L5000,"教育費")</f>
        <v/>
      </c>
      <c r="C42" s="246">
        <f>SUMIFS(M1:M5000,K1:K5000,A42,L1:L5000,"保險費")</f>
        <v/>
      </c>
      <c r="D42" s="246">
        <f>SUMIFS(M1:M5000,K1:K5000,A42,L1:L5000,"醫療費")</f>
        <v/>
      </c>
      <c r="E42" s="246">
        <f>B42+C42+D42</f>
        <v/>
      </c>
      <c r="F42" s="246">
        <f>E42/2</f>
        <v/>
      </c>
      <c r="G42" s="246">
        <f>E42/2</f>
        <v/>
      </c>
      <c r="H42" s="87" t="n"/>
      <c r="J42" s="274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75" t="n">
        <v>610</v>
      </c>
      <c r="N42" s="92" t="inlineStr">
        <is>
          <t>1130516(寧)</t>
        </is>
      </c>
      <c r="O42" s="274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246">
        <f>SUMIFS(M1:M5000,K1:K5000,A43,L1:L5000,"教育費")</f>
        <v/>
      </c>
      <c r="C43" s="246">
        <f>SUMIFS(M1:M5000,K1:K5000,A43,L1:L5000,"保險費")</f>
        <v/>
      </c>
      <c r="D43" s="246">
        <f>SUMIFS(M1:M5000,K1:K5000,A43,L1:L5000,"醫療費")</f>
        <v/>
      </c>
      <c r="E43" s="246">
        <f>B43+C43+D43</f>
        <v/>
      </c>
      <c r="F43" s="246">
        <f>E43/2</f>
        <v/>
      </c>
      <c r="G43" s="246">
        <f>E43/2</f>
        <v/>
      </c>
      <c r="H43" s="87" t="n"/>
      <c r="J43" s="274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75" t="n">
        <v>590</v>
      </c>
      <c r="N43" s="92" t="inlineStr">
        <is>
          <t>1130523(寧)</t>
        </is>
      </c>
      <c r="O43" s="274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246">
        <f>SUMIFS(M1:M5000,K1:K5000,A44,L1:L5000,"教育費")</f>
        <v/>
      </c>
      <c r="C44" s="246">
        <f>SUMIFS(M1:M5000,K1:K5000,A44,L1:L5000,"保險費")</f>
        <v/>
      </c>
      <c r="D44" s="246">
        <f>SUMIFS(M1:M5000,K1:K5000,A44,L1:L5000,"醫療費")</f>
        <v/>
      </c>
      <c r="E44" s="246">
        <f>B44+C44+D44</f>
        <v/>
      </c>
      <c r="F44" s="246">
        <f>E44/2</f>
        <v/>
      </c>
      <c r="G44" s="246">
        <f>E44/2</f>
        <v/>
      </c>
      <c r="H44" s="87" t="n"/>
      <c r="J44" s="274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75" t="n">
        <v>300</v>
      </c>
      <c r="N44" s="92" t="inlineStr">
        <is>
          <t>1130526(維)</t>
        </is>
      </c>
      <c r="O44" s="274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55">
        <f>SUMIFS(M1:M5000,K1:K5000,A45,L1:L5000,"教育費")</f>
        <v/>
      </c>
      <c r="C45" s="255">
        <f>SUMIFS(M1:M5000,K1:K5000,A45,L1:L5000,"保險費")</f>
        <v/>
      </c>
      <c r="D45" s="255">
        <f>SUMIFS(M1:M5000,K1:K5000,A45,L1:L5000,"醫療費")</f>
        <v/>
      </c>
      <c r="E45" s="255">
        <f>B45+C45+D45</f>
        <v/>
      </c>
      <c r="F45" s="255">
        <f>E45/2</f>
        <v/>
      </c>
      <c r="G45" s="255">
        <f>E45/2</f>
        <v/>
      </c>
      <c r="H45" s="95" t="inlineStr">
        <is>
          <t>← 明細清單新增當月項目後自動加總</t>
        </is>
      </c>
      <c r="J45" s="274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75" t="n">
        <v>370</v>
      </c>
      <c r="N45" s="92" t="inlineStr">
        <is>
          <t>1130528(維)</t>
        </is>
      </c>
      <c r="O45" s="274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55">
        <f>SUMIFS(M1:M5000,K1:K5000,A46,L1:L5000,"教育費")</f>
        <v/>
      </c>
      <c r="C46" s="255">
        <f>SUMIFS(M1:M5000,K1:K5000,A46,L1:L5000,"保險費")</f>
        <v/>
      </c>
      <c r="D46" s="255">
        <f>SUMIFS(M1:M5000,K1:K5000,A46,L1:L5000,"醫療費")</f>
        <v/>
      </c>
      <c r="E46" s="255">
        <f>B46+C46+D46</f>
        <v/>
      </c>
      <c r="F46" s="255">
        <f>E46/2</f>
        <v/>
      </c>
      <c r="G46" s="255">
        <f>E46/2</f>
        <v/>
      </c>
      <c r="H46" s="95" t="inlineStr">
        <is>
          <t>← 明細清單新增當月項目後自動加總</t>
        </is>
      </c>
      <c r="J46" s="274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75" t="n">
        <v>180</v>
      </c>
      <c r="N46" s="92" t="inlineStr">
        <is>
          <t>1130529(寧)</t>
        </is>
      </c>
      <c r="O46" s="274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55">
        <f>SUMIFS(M1:M5000,K1:K5000,A47,L1:L5000,"教育費")</f>
        <v/>
      </c>
      <c r="C47" s="255">
        <f>SUMIFS(M1:M5000,K1:K5000,A47,L1:L5000,"保險費")</f>
        <v/>
      </c>
      <c r="D47" s="255">
        <f>SUMIFS(M1:M5000,K1:K5000,A47,L1:L5000,"醫療費")</f>
        <v/>
      </c>
      <c r="E47" s="255">
        <f>B47+C47+D47</f>
        <v/>
      </c>
      <c r="F47" s="255">
        <f>E47/2</f>
        <v/>
      </c>
      <c r="G47" s="255">
        <f>E47/2</f>
        <v/>
      </c>
      <c r="H47" s="95" t="inlineStr">
        <is>
          <t>← 明細清單新增當月項目後自動加總</t>
        </is>
      </c>
      <c r="J47" s="274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75" t="n">
        <v>3000</v>
      </c>
      <c r="N47" s="92" t="inlineStr">
        <is>
          <t>11306準公托月費(寧)</t>
        </is>
      </c>
      <c r="O47" s="274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55">
        <f>SUMIFS(M1:M5000,K1:K5000,A48,L1:L5000,"教育費")</f>
        <v/>
      </c>
      <c r="C48" s="255">
        <f>SUMIFS(M1:M5000,K1:K5000,A48,L1:L5000,"保險費")</f>
        <v/>
      </c>
      <c r="D48" s="255">
        <f>SUMIFS(M1:M5000,K1:K5000,A48,L1:L5000,"醫療費")</f>
        <v/>
      </c>
      <c r="E48" s="255">
        <f>B48+C48+D48</f>
        <v/>
      </c>
      <c r="F48" s="255">
        <f>E48/2</f>
        <v/>
      </c>
      <c r="G48" s="255">
        <f>E48/2</f>
        <v/>
      </c>
      <c r="H48" s="95" t="inlineStr">
        <is>
          <t>← 明細清單新增當月項目後自動加總</t>
        </is>
      </c>
      <c r="J48" s="274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75" t="n">
        <v>562</v>
      </c>
      <c r="N48" s="92" t="inlineStr">
        <is>
          <t>1130606(寧)</t>
        </is>
      </c>
      <c r="O48" s="274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55">
        <f>SUMIFS(M1:M5000,K1:K5000,A49,L1:L5000,"教育費")</f>
        <v/>
      </c>
      <c r="C49" s="255">
        <f>SUMIFS(M1:M5000,K1:K5000,A49,L1:L5000,"保險費")</f>
        <v/>
      </c>
      <c r="D49" s="255">
        <f>SUMIFS(M1:M5000,K1:K5000,A49,L1:L5000,"醫療費")</f>
        <v/>
      </c>
      <c r="E49" s="255">
        <f>B49+C49+D49</f>
        <v/>
      </c>
      <c r="F49" s="255">
        <f>E49/2</f>
        <v/>
      </c>
      <c r="G49" s="255">
        <f>E49/2</f>
        <v/>
      </c>
      <c r="H49" s="95" t="inlineStr">
        <is>
          <t>← 明細清單新增當月項目後自動加總</t>
        </is>
      </c>
      <c r="J49" s="274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75" t="n">
        <v>3360</v>
      </c>
      <c r="N49" s="92" t="inlineStr">
        <is>
          <t>8/1-8/29(寧安親班)訂金</t>
        </is>
      </c>
      <c r="O49" s="274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55">
        <f>SUMIFS(M1:M5000,K1:K5000,A50,L1:L5000,"教育費")</f>
        <v/>
      </c>
      <c r="C50" s="255">
        <f>SUMIFS(M1:M5000,K1:K5000,A50,L1:L5000,"保險費")</f>
        <v/>
      </c>
      <c r="D50" s="255">
        <f>SUMIFS(M1:M5000,K1:K5000,A50,L1:L5000,"醫療費")</f>
        <v/>
      </c>
      <c r="E50" s="255">
        <f>B50+C50+D50</f>
        <v/>
      </c>
      <c r="F50" s="255">
        <f>E50/2</f>
        <v/>
      </c>
      <c r="G50" s="255">
        <f>E50/2</f>
        <v/>
      </c>
      <c r="H50" s="95" t="inlineStr">
        <is>
          <t>← 明細清單新增當月項目後自動加總</t>
        </is>
      </c>
      <c r="J50" s="274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75" t="n">
        <v>630</v>
      </c>
      <c r="N50" s="92" t="inlineStr">
        <is>
          <t>1130605(維)</t>
        </is>
      </c>
      <c r="O50" s="274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55">
        <f>SUMIFS(M1:M5000,K1:K5000,A51,L1:L5000,"教育費")</f>
        <v/>
      </c>
      <c r="C51" s="255">
        <f>SUMIFS(M1:M5000,K1:K5000,A51,L1:L5000,"保險費")</f>
        <v/>
      </c>
      <c r="D51" s="255">
        <f>SUMIFS(M1:M5000,K1:K5000,A51,L1:L5000,"醫療費")</f>
        <v/>
      </c>
      <c r="E51" s="255">
        <f>B51+C51+D51</f>
        <v/>
      </c>
      <c r="F51" s="255">
        <f>E51/2</f>
        <v/>
      </c>
      <c r="G51" s="255">
        <f>E51/2</f>
        <v/>
      </c>
      <c r="H51" s="95" t="inlineStr">
        <is>
          <t>← 明細清單新增當月項目後自動加總</t>
        </is>
      </c>
      <c r="J51" s="274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75" t="n">
        <v>2000</v>
      </c>
      <c r="N51" s="92" t="inlineStr">
        <is>
          <t>9/2-9/30(寧英文班)訂金</t>
        </is>
      </c>
      <c r="O51" s="274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55">
        <f>SUMIFS(M1:M5000,K1:K5000,A52,L1:L5000,"教育費")</f>
        <v/>
      </c>
      <c r="C52" s="255">
        <f>SUMIFS(M1:M5000,K1:K5000,A52,L1:L5000,"保險費")</f>
        <v/>
      </c>
      <c r="D52" s="255">
        <f>SUMIFS(M1:M5000,K1:K5000,A52,L1:L5000,"醫療費")</f>
        <v/>
      </c>
      <c r="E52" s="255">
        <f>B52+C52+D52</f>
        <v/>
      </c>
      <c r="F52" s="255">
        <f>E52/2</f>
        <v/>
      </c>
      <c r="G52" s="255">
        <f>E52/2</f>
        <v/>
      </c>
      <c r="H52" s="95" t="inlineStr">
        <is>
          <t>← 明細清單新增當月項目後自動加總</t>
        </is>
      </c>
      <c r="J52" s="274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75" t="n">
        <v>610</v>
      </c>
      <c r="N52" s="92" t="inlineStr">
        <is>
          <t>1130626(寧)</t>
        </is>
      </c>
      <c r="O52" s="274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55">
        <f>SUMIFS(M1:M5000,K1:K5000,A53,L1:L5000,"教育費")</f>
        <v/>
      </c>
      <c r="C53" s="255">
        <f>SUMIFS(M1:M5000,K1:K5000,A53,L1:L5000,"保險費")</f>
        <v/>
      </c>
      <c r="D53" s="255">
        <f>SUMIFS(M1:M5000,K1:K5000,A53,L1:L5000,"醫療費")</f>
        <v/>
      </c>
      <c r="E53" s="255">
        <f>B53+C53+D53</f>
        <v/>
      </c>
      <c r="F53" s="255">
        <f>E53/2</f>
        <v/>
      </c>
      <c r="G53" s="255">
        <f>E53/2</f>
        <v/>
      </c>
      <c r="H53" s="95" t="inlineStr">
        <is>
          <t>← 明細清單新增當月項目後自動加總</t>
        </is>
      </c>
      <c r="J53" s="274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75" t="n">
        <v>150</v>
      </c>
      <c r="N53" s="92" t="inlineStr">
        <is>
          <t>1130626(維)</t>
        </is>
      </c>
      <c r="O53" s="274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55">
        <f>SUMIFS(M1:M5000,K1:K5000,A54,L1:L5000,"教育費")</f>
        <v/>
      </c>
      <c r="C54" s="255">
        <f>SUMIFS(M1:M5000,K1:K5000,A54,L1:L5000,"保險費")</f>
        <v/>
      </c>
      <c r="D54" s="255">
        <f>SUMIFS(M1:M5000,K1:K5000,A54,L1:L5000,"醫療費")</f>
        <v/>
      </c>
      <c r="E54" s="255">
        <f>B54+C54+D54</f>
        <v/>
      </c>
      <c r="F54" s="255">
        <f>E54/2</f>
        <v/>
      </c>
      <c r="G54" s="255">
        <f>E54/2</f>
        <v/>
      </c>
      <c r="H54" s="95" t="inlineStr">
        <is>
          <t>← 明細清單新增當月項目後自動加總</t>
        </is>
      </c>
      <c r="J54" s="274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75" t="n">
        <v>3000</v>
      </c>
      <c r="N54" s="92" t="inlineStr">
        <is>
          <t>11306準公托月費(寧)</t>
        </is>
      </c>
      <c r="O54" s="274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55">
        <f>SUMIFS(M1:M5000,K1:K5000,A55,L1:L5000,"教育費")</f>
        <v/>
      </c>
      <c r="C55" s="255">
        <f>SUMIFS(M1:M5000,K1:K5000,A55,L1:L5000,"保險費")</f>
        <v/>
      </c>
      <c r="D55" s="255">
        <f>SUMIFS(M1:M5000,K1:K5000,A55,L1:L5000,"醫療費")</f>
        <v/>
      </c>
      <c r="E55" s="255">
        <f>B55+C55+D55</f>
        <v/>
      </c>
      <c r="F55" s="255">
        <f>E55/2</f>
        <v/>
      </c>
      <c r="G55" s="255">
        <f>E55/2</f>
        <v/>
      </c>
      <c r="H55" s="95" t="inlineStr">
        <is>
          <t>← 明細清單新增當月項目後自動加總</t>
        </is>
      </c>
      <c r="J55" s="274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75" t="n">
        <v>1614</v>
      </c>
      <c r="N55" s="94" t="inlineStr">
        <is>
          <t>新安產險(寧)</t>
        </is>
      </c>
      <c r="O55" s="274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55">
        <f>SUMIFS(M1:M5000,K1:K5000,A56,L1:L5000,"教育費")</f>
        <v/>
      </c>
      <c r="C56" s="255">
        <f>SUMIFS(M1:M5000,K1:K5000,A56,L1:L5000,"保險費")</f>
        <v/>
      </c>
      <c r="D56" s="255">
        <f>SUMIFS(M1:M5000,K1:K5000,A56,L1:L5000,"醫療費")</f>
        <v/>
      </c>
      <c r="E56" s="255">
        <f>B56+C56+D56</f>
        <v/>
      </c>
      <c r="F56" s="255">
        <f>E56/2</f>
        <v/>
      </c>
      <c r="G56" s="255">
        <f>E56/2</f>
        <v/>
      </c>
      <c r="H56" s="95" t="inlineStr">
        <is>
          <t>← 明細清單新增當月項目後自動加總</t>
        </is>
      </c>
      <c r="J56" s="274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75" t="n">
        <v>580</v>
      </c>
      <c r="N56" s="92" t="inlineStr">
        <is>
          <t>1130703(寧)</t>
        </is>
      </c>
      <c r="O56" s="274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55">
        <f>SUMIFS(M1:M5000,K1:K5000,A57,L1:L5000,"教育費")</f>
        <v/>
      </c>
      <c r="C57" s="255">
        <f>SUMIFS(M1:M5000,K1:K5000,A57,L1:L5000,"保險費")</f>
        <v/>
      </c>
      <c r="D57" s="255">
        <f>SUMIFS(M1:M5000,K1:K5000,A57,L1:L5000,"醫療費")</f>
        <v/>
      </c>
      <c r="E57" s="255">
        <f>B57+C57+D57</f>
        <v/>
      </c>
      <c r="F57" s="255">
        <f>E57/2</f>
        <v/>
      </c>
      <c r="G57" s="255">
        <f>E57/2</f>
        <v/>
      </c>
      <c r="H57" s="95" t="inlineStr">
        <is>
          <t>← 明細清單新增當月項目後自動加總</t>
        </is>
      </c>
      <c r="J57" s="274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75" t="n">
        <v>500</v>
      </c>
      <c r="N57" s="94" t="inlineStr">
        <is>
          <t>租衣費(寧)</t>
        </is>
      </c>
      <c r="O57" s="274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55">
        <f>SUMIFS(M1:M5000,K1:K5000,A58,L1:L5000,"教育費")</f>
        <v/>
      </c>
      <c r="C58" s="255">
        <f>SUMIFS(M1:M5000,K1:K5000,A58,L1:L5000,"保險費")</f>
        <v/>
      </c>
      <c r="D58" s="255">
        <f>SUMIFS(M1:M5000,K1:K5000,A58,L1:L5000,"醫療費")</f>
        <v/>
      </c>
      <c r="E58" s="255">
        <f>B58+C58+D58</f>
        <v/>
      </c>
      <c r="F58" s="255">
        <f>E58/2</f>
        <v/>
      </c>
      <c r="G58" s="255">
        <f>E58/2</f>
        <v/>
      </c>
      <c r="H58" s="95" t="inlineStr">
        <is>
          <t>← 明細清單新增當月項目後自動加總</t>
        </is>
      </c>
      <c r="J58" s="274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75" t="n">
        <v>6634</v>
      </c>
      <c r="N58" s="94" t="inlineStr">
        <is>
          <t>台灣人壽(寧)</t>
        </is>
      </c>
      <c r="O58" s="274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55">
        <f>SUMIFS(M1:M5000,K1:K5000,A59,L1:L5000,"教育費")</f>
        <v/>
      </c>
      <c r="C59" s="255">
        <f>SUMIFS(M1:M5000,K1:K5000,A59,L1:L5000,"保險費")</f>
        <v/>
      </c>
      <c r="D59" s="255">
        <f>SUMIFS(M1:M5000,K1:K5000,A59,L1:L5000,"醫療費")</f>
        <v/>
      </c>
      <c r="E59" s="255">
        <f>B59+C59+D59</f>
        <v/>
      </c>
      <c r="F59" s="255">
        <f>E59/2</f>
        <v/>
      </c>
      <c r="G59" s="255">
        <f>E59/2</f>
        <v/>
      </c>
      <c r="H59" s="95" t="inlineStr">
        <is>
          <t>← 明細清單新增當月項目後自動加總</t>
        </is>
      </c>
      <c r="J59" s="274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75" t="n">
        <v>150</v>
      </c>
      <c r="N59" s="92" t="inlineStr">
        <is>
          <t>1130703(維)</t>
        </is>
      </c>
      <c r="O59" s="274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55">
        <f>SUMIFS(M1:M5000,K1:K5000,A60,L1:L5000,"教育費")</f>
        <v/>
      </c>
      <c r="C60" s="255">
        <f>SUMIFS(M1:M5000,K1:K5000,A60,L1:L5000,"保險費")</f>
        <v/>
      </c>
      <c r="D60" s="255">
        <f>SUMIFS(M1:M5000,K1:K5000,A60,L1:L5000,"醫療費")</f>
        <v/>
      </c>
      <c r="E60" s="255">
        <f>B60+C60+D60</f>
        <v/>
      </c>
      <c r="F60" s="255">
        <f>E60/2</f>
        <v/>
      </c>
      <c r="G60" s="255">
        <f>E60/2</f>
        <v/>
      </c>
      <c r="H60" s="95" t="inlineStr">
        <is>
          <t>← 明細清單新增當月項目後自動加總</t>
        </is>
      </c>
      <c r="J60" s="274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75" t="n">
        <v>13250</v>
      </c>
      <c r="N60" s="92" t="inlineStr">
        <is>
          <t>113年下學期註冊費(維)</t>
        </is>
      </c>
      <c r="O60" s="274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55">
        <f>SUMIFS(M1:M5000,K1:K5000,A61,L1:L5000,"教育費")</f>
        <v/>
      </c>
      <c r="C61" s="255">
        <f>SUMIFS(M1:M5000,K1:K5000,A61,L1:L5000,"保險費")</f>
        <v/>
      </c>
      <c r="D61" s="255">
        <f>SUMIFS(M1:M5000,K1:K5000,A61,L1:L5000,"醫療費")</f>
        <v/>
      </c>
      <c r="E61" s="255">
        <f>B61+C61+D61</f>
        <v/>
      </c>
      <c r="F61" s="255">
        <f>E61/2</f>
        <v/>
      </c>
      <c r="G61" s="255">
        <f>E61/2</f>
        <v/>
      </c>
      <c r="H61" s="95" t="inlineStr">
        <is>
          <t>← 明細清單新增當月項目後自動加總</t>
        </is>
      </c>
      <c r="J61" s="274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75" t="n">
        <v>12848</v>
      </c>
      <c r="N61" s="94" t="inlineStr">
        <is>
          <t>全球人壽(寧)</t>
        </is>
      </c>
      <c r="O61" s="274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55">
        <f>SUMIFS(M1:M5000,K1:K5000,A62,L1:L5000,"教育費")</f>
        <v/>
      </c>
      <c r="C62" s="255">
        <f>SUMIFS(M1:M5000,K1:K5000,A62,L1:L5000,"保險費")</f>
        <v/>
      </c>
      <c r="D62" s="255">
        <f>SUMIFS(M1:M5000,K1:K5000,A62,L1:L5000,"醫療費")</f>
        <v/>
      </c>
      <c r="E62" s="255">
        <f>B62+C62+D62</f>
        <v/>
      </c>
      <c r="F62" s="255">
        <f>E62/2</f>
        <v/>
      </c>
      <c r="G62" s="255">
        <f>E62/2</f>
        <v/>
      </c>
      <c r="H62" s="95" t="inlineStr">
        <is>
          <t>← 明細清單新增當月項目後自動加總</t>
        </is>
      </c>
      <c r="J62" s="274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75" t="n">
        <v>250</v>
      </c>
      <c r="N62" s="92" t="inlineStr">
        <is>
          <t>1130715(寧)</t>
        </is>
      </c>
      <c r="O62" s="274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75" t="n">
        <v>250</v>
      </c>
      <c r="N63" s="92" t="inlineStr">
        <is>
          <t>1130716(維)</t>
        </is>
      </c>
      <c r="O63" s="274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75" t="n">
        <v>250</v>
      </c>
      <c r="N64" s="92" t="inlineStr">
        <is>
          <t>1130718(寧)</t>
        </is>
      </c>
      <c r="O64" s="274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75" t="n">
        <v>250</v>
      </c>
      <c r="N65" s="92" t="inlineStr">
        <is>
          <t>1130718(維)</t>
        </is>
      </c>
      <c r="O65" s="274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75" t="n">
        <v>650</v>
      </c>
      <c r="N66" s="92" t="inlineStr">
        <is>
          <t>1130718(寧)</t>
        </is>
      </c>
      <c r="O66" s="274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75" t="n">
        <v>510</v>
      </c>
      <c r="N67" s="92" t="inlineStr">
        <is>
          <t>1130719(寧)</t>
        </is>
      </c>
      <c r="O67" s="274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75" t="n">
        <v>2000</v>
      </c>
      <c r="N68" s="92" t="inlineStr">
        <is>
          <t>11308準公共(維)</t>
        </is>
      </c>
      <c r="O68" s="274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75" t="n">
        <v>250</v>
      </c>
      <c r="N69" s="92" t="inlineStr">
        <is>
          <t>1130805(維)</t>
        </is>
      </c>
      <c r="O69" s="274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75" t="n">
        <v>200</v>
      </c>
      <c r="N70" s="94" t="inlineStr">
        <is>
          <t>保險費(維)</t>
        </is>
      </c>
      <c r="O70" s="274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75" t="n">
        <v>250</v>
      </c>
      <c r="N71" s="92" t="inlineStr">
        <is>
          <t>1130806(寧)</t>
        </is>
      </c>
      <c r="O71" s="274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75" t="n">
        <v>6700</v>
      </c>
      <c r="N72" s="92" t="inlineStr">
        <is>
          <t>11309全科輔導班(寧)</t>
        </is>
      </c>
      <c r="O72" s="274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75" t="n">
        <v>200</v>
      </c>
      <c r="N73" s="92" t="inlineStr">
        <is>
          <t>1130819(寧)</t>
        </is>
      </c>
      <c r="O73" s="274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75" t="n">
        <v>2950</v>
      </c>
      <c r="N74" s="92" t="inlineStr">
        <is>
          <t>11309英文班(寧)</t>
        </is>
      </c>
      <c r="O74" s="274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75" t="n">
        <v>250</v>
      </c>
      <c r="N75" s="92" t="inlineStr">
        <is>
          <t>1130826(寧)</t>
        </is>
      </c>
      <c r="O75" s="274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75" t="n">
        <v>2000</v>
      </c>
      <c r="N76" s="92" t="inlineStr">
        <is>
          <t>11309準公共(維)</t>
        </is>
      </c>
      <c r="O76" s="274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75" t="n">
        <v>8950</v>
      </c>
      <c r="N77" s="92" t="inlineStr">
        <is>
          <t>11310安親班(寧)</t>
        </is>
      </c>
      <c r="O77" s="274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75" t="n">
        <v>1387</v>
      </c>
      <c r="N78" s="92" t="inlineStr">
        <is>
          <t>113北屯國小合作社(寧)</t>
        </is>
      </c>
      <c r="O78" s="274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75" t="n">
        <v>6279</v>
      </c>
      <c r="N79" s="92" t="inlineStr">
        <is>
          <t>113北屯國小雜費(寧)</t>
        </is>
      </c>
      <c r="O79" s="274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75" t="n">
        <v>2000</v>
      </c>
      <c r="N80" s="92" t="inlineStr">
        <is>
          <t>11310準公共(維)</t>
        </is>
      </c>
      <c r="O80" s="274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75" t="n">
        <v>250</v>
      </c>
      <c r="N81" s="92" t="inlineStr">
        <is>
          <t>1131001(維)</t>
        </is>
      </c>
      <c r="O81" s="274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75" t="n">
        <v>8600</v>
      </c>
      <c r="N82" s="92" t="inlineStr">
        <is>
          <t>11311安親班(寧)</t>
        </is>
      </c>
      <c r="O82" s="274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75" t="n">
        <v>250</v>
      </c>
      <c r="N83" s="92" t="inlineStr">
        <is>
          <t>1131007(維)</t>
        </is>
      </c>
      <c r="O83" s="274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75" t="n">
        <v>840</v>
      </c>
      <c r="N84" s="92" t="inlineStr">
        <is>
          <t>11310羊乳(寧)</t>
        </is>
      </c>
      <c r="O84" s="274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75" t="n">
        <v>200</v>
      </c>
      <c r="N85" s="92" t="inlineStr">
        <is>
          <t>1131007(維)</t>
        </is>
      </c>
      <c r="O85" s="274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75" t="n">
        <v>250</v>
      </c>
      <c r="N86" s="92" t="inlineStr">
        <is>
          <t>1131008(寧)</t>
        </is>
      </c>
      <c r="O86" s="274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75" t="n">
        <v>2000</v>
      </c>
      <c r="N87" s="92" t="inlineStr">
        <is>
          <t>11311準公共(維)</t>
        </is>
      </c>
      <c r="O87" s="274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75" t="n">
        <v>250</v>
      </c>
      <c r="N88" s="92" t="inlineStr">
        <is>
          <t>1131115(寧)</t>
        </is>
      </c>
      <c r="O88" s="274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75" t="n">
        <v>900</v>
      </c>
      <c r="N89" s="92" t="inlineStr">
        <is>
          <t>113冬季運動服(維)</t>
        </is>
      </c>
      <c r="O89" s="274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75" t="n">
        <v>250</v>
      </c>
      <c r="N90" s="92" t="inlineStr">
        <is>
          <t>1131128(維)</t>
        </is>
      </c>
      <c r="O90" s="274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75" t="n">
        <v>10450</v>
      </c>
      <c r="N91" s="92" t="inlineStr">
        <is>
          <t>11312安親班(寧)</t>
        </is>
      </c>
      <c r="O91" s="274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75" t="n">
        <v>812</v>
      </c>
      <c r="N92" s="92" t="inlineStr">
        <is>
          <t>11312羊奶(寧)</t>
        </is>
      </c>
      <c r="O92" s="274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75" t="n">
        <v>2000</v>
      </c>
      <c r="N93" s="92" t="inlineStr">
        <is>
          <t>11312準公共(維)</t>
        </is>
      </c>
      <c r="O93" s="274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75" t="n">
        <v>250</v>
      </c>
      <c r="N94" s="92" t="inlineStr">
        <is>
          <t>1131210(寧)</t>
        </is>
      </c>
      <c r="O94" s="274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75" t="n">
        <v>13930</v>
      </c>
      <c r="N95" s="92" t="inlineStr">
        <is>
          <t>11401安親班(寧)</t>
        </is>
      </c>
      <c r="O95" s="274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75" t="n">
        <v>250</v>
      </c>
      <c r="N96" s="92" t="inlineStr">
        <is>
          <t>1131225(維)</t>
        </is>
      </c>
      <c r="O96" s="274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75" t="n">
        <v>16500</v>
      </c>
      <c r="N97" s="92" t="inlineStr">
        <is>
          <t>114年上學期註冊費(維)</t>
        </is>
      </c>
      <c r="O97" s="274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75" t="n">
        <v>250</v>
      </c>
      <c r="N98" s="92" t="inlineStr">
        <is>
          <t>1131226(寧)</t>
        </is>
      </c>
      <c r="O98" s="274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75" t="n">
        <v>1636</v>
      </c>
      <c r="N99" s="92" t="inlineStr">
        <is>
          <t>11401準公共(維)</t>
        </is>
      </c>
      <c r="O99" s="274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75" t="n">
        <v>550</v>
      </c>
      <c r="N100" s="92" t="inlineStr">
        <is>
          <t>1140123(寧)</t>
        </is>
      </c>
      <c r="O100" s="274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75" t="n">
        <v>2200</v>
      </c>
      <c r="N101" s="92" t="inlineStr">
        <is>
          <t>11402準公共(維)</t>
        </is>
      </c>
      <c r="O101" s="274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75" t="n">
        <v>250</v>
      </c>
      <c r="N102" s="92" t="inlineStr">
        <is>
          <t>1140203(寧)</t>
        </is>
      </c>
      <c r="O102" s="274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75" t="n">
        <v>8100</v>
      </c>
      <c r="N103" s="92" t="inlineStr">
        <is>
          <t>11402安親班(寧)</t>
        </is>
      </c>
      <c r="O103" s="274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75" t="n">
        <v>250</v>
      </c>
      <c r="N104" s="92" t="inlineStr">
        <is>
          <t>1140203(維)</t>
        </is>
      </c>
      <c r="O104" s="274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75" t="n">
        <v>5949</v>
      </c>
      <c r="N105" s="92" t="inlineStr">
        <is>
          <t>113(2)學雜費(寧)</t>
        </is>
      </c>
      <c r="O105" s="274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75" t="n">
        <v>250</v>
      </c>
      <c r="N106" s="92" t="inlineStr">
        <is>
          <t>1140206(寧)</t>
        </is>
      </c>
      <c r="O106" s="274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75" t="n">
        <v>840</v>
      </c>
      <c r="N107" s="92" t="inlineStr">
        <is>
          <t>11402羊奶費(寧)</t>
        </is>
      </c>
      <c r="O107" s="274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75" t="n">
        <v>250</v>
      </c>
      <c r="N108" s="92" t="inlineStr">
        <is>
          <t>1140218(維)</t>
        </is>
      </c>
      <c r="O108" s="274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75" t="n">
        <v>150</v>
      </c>
      <c r="N109" s="92" t="inlineStr">
        <is>
          <t>113(2)學習扶助班(寧)</t>
        </is>
      </c>
      <c r="O109" s="274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75" t="n">
        <v>250</v>
      </c>
      <c r="N110" s="92" t="inlineStr">
        <is>
          <t>1140221(維)</t>
        </is>
      </c>
      <c r="O110" s="274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75" t="n">
        <v>415</v>
      </c>
      <c r="N111" s="92" t="inlineStr">
        <is>
          <t>113(2)合作社費(寧)</t>
        </is>
      </c>
      <c r="O111" s="274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75" t="n">
        <v>250</v>
      </c>
      <c r="N112" s="92" t="inlineStr">
        <is>
          <t>1140224(寧)</t>
        </is>
      </c>
      <c r="O112" s="274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75" t="n">
        <v>250</v>
      </c>
      <c r="N113" s="92" t="inlineStr">
        <is>
          <t>1140227(寧)</t>
        </is>
      </c>
      <c r="O113" s="274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75" t="n">
        <v>2000</v>
      </c>
      <c r="N114" s="92" t="inlineStr">
        <is>
          <t>11403準公共(維)</t>
        </is>
      </c>
      <c r="O114" s="274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75" t="n">
        <v>14737</v>
      </c>
      <c r="N115" s="92" t="inlineStr">
        <is>
          <t>114全球人壽(維)</t>
        </is>
      </c>
      <c r="O115" s="274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75" t="n">
        <v>250</v>
      </c>
      <c r="N116" s="92" t="inlineStr">
        <is>
          <t>1130304(維)</t>
        </is>
      </c>
      <c r="O116" s="274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75" t="n">
        <v>8950</v>
      </c>
      <c r="N117" s="92" t="inlineStr">
        <is>
          <t>11403安親班(寧)</t>
        </is>
      </c>
      <c r="O117" s="274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75" t="n">
        <v>1614</v>
      </c>
      <c r="N118" s="92" t="inlineStr">
        <is>
          <t>114新安產險(維)</t>
        </is>
      </c>
      <c r="O118" s="274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75" t="n">
        <v>1800</v>
      </c>
      <c r="N119" s="92" t="inlineStr">
        <is>
          <t>11403安親班教材(寧)</t>
        </is>
      </c>
      <c r="O119" s="274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75" t="n">
        <v>8479</v>
      </c>
      <c r="N120" s="92" t="inlineStr">
        <is>
          <t>114台灣人壽(維)</t>
        </is>
      </c>
      <c r="O120" s="274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75" t="n">
        <v>840</v>
      </c>
      <c r="N121" s="92" t="inlineStr">
        <is>
          <t>11403羊奶費(寧)</t>
        </is>
      </c>
      <c r="O121" s="274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75" t="n">
        <v>2000</v>
      </c>
      <c r="N122" s="92" t="inlineStr">
        <is>
          <t>11404準公共(維)</t>
        </is>
      </c>
      <c r="O122" s="274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75" t="n">
        <v>250</v>
      </c>
      <c r="N123" s="92" t="inlineStr">
        <is>
          <t>1140412(寧)</t>
        </is>
      </c>
      <c r="O123" s="274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75" t="n">
        <v>8950</v>
      </c>
      <c r="N124" s="92" t="inlineStr">
        <is>
          <t>11404安親班(寧)</t>
        </is>
      </c>
      <c r="O124" s="274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75" t="n">
        <v>250</v>
      </c>
      <c r="N125" s="92" t="inlineStr">
        <is>
          <t>11404安親班(寧)5/1補</t>
        </is>
      </c>
      <c r="O125" s="274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75" t="n">
        <v>2000</v>
      </c>
      <c r="N126" s="92" t="inlineStr">
        <is>
          <t>11405準公共(維)</t>
        </is>
      </c>
      <c r="O126" s="274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75" t="n">
        <v>100</v>
      </c>
      <c r="N127" s="92" t="inlineStr">
        <is>
          <t>1140501(維)</t>
        </is>
      </c>
      <c r="O127" s="274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75" t="n">
        <v>8600</v>
      </c>
      <c r="N128" s="92" t="inlineStr">
        <is>
          <t>11405安親班(寧)</t>
        </is>
      </c>
      <c r="O128" s="274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75" t="n">
        <v>350</v>
      </c>
      <c r="N129" s="92" t="inlineStr">
        <is>
          <t>1140501(維)</t>
        </is>
      </c>
      <c r="O129" s="274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75" t="n">
        <v>896</v>
      </c>
      <c r="N130" s="92" t="inlineStr">
        <is>
          <t>11405羊奶費(寧)</t>
        </is>
      </c>
      <c r="O130" s="274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75" t="n">
        <v>250</v>
      </c>
      <c r="N131" s="92" t="inlineStr">
        <is>
          <t>1140510(維)</t>
        </is>
      </c>
      <c r="O131" s="274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75" t="n">
        <v>220</v>
      </c>
      <c r="N132" s="92" t="inlineStr">
        <is>
          <t>1140520(寧)</t>
        </is>
      </c>
      <c r="O132" s="274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75" t="n">
        <v>200</v>
      </c>
      <c r="N133" s="92" t="inlineStr">
        <is>
          <t>1140527(寧)</t>
        </is>
      </c>
      <c r="O133" s="274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75" t="n">
        <v>200</v>
      </c>
      <c r="N134" s="92" t="inlineStr">
        <is>
          <t>1140529(寧)</t>
        </is>
      </c>
      <c r="O134" s="274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75" t="n">
        <v>2000</v>
      </c>
      <c r="N135" s="92" t="inlineStr">
        <is>
          <t>11406準公共(維)</t>
        </is>
      </c>
      <c r="O135" s="274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75" t="n">
        <v>200</v>
      </c>
      <c r="N136" s="92" t="inlineStr">
        <is>
          <t>1140601(寧)</t>
        </is>
      </c>
      <c r="O136" s="274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75" t="n">
        <v>10450</v>
      </c>
      <c r="N137" s="92" t="inlineStr">
        <is>
          <t>11406安親班(寧)</t>
        </is>
      </c>
      <c r="O137" s="274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75" t="n">
        <v>200</v>
      </c>
      <c r="N138" s="92" t="inlineStr">
        <is>
          <t>1140605(寧)</t>
        </is>
      </c>
      <c r="O138" s="274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75" t="n">
        <v>16500</v>
      </c>
      <c r="N139" s="92" t="inlineStr">
        <is>
          <t>114年下學期註冊費(維)</t>
        </is>
      </c>
      <c r="O139" s="274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75" t="n">
        <v>300</v>
      </c>
      <c r="N140" s="92" t="inlineStr">
        <is>
          <t>114年幼稚園租衣費(維)</t>
        </is>
      </c>
      <c r="O140" s="274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75" t="n">
        <v>2000</v>
      </c>
      <c r="N141" s="92" t="inlineStr">
        <is>
          <t>11407準公共(維)</t>
        </is>
      </c>
      <c r="O141" s="274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75" t="n">
        <v>1614</v>
      </c>
      <c r="N142" s="94" t="inlineStr">
        <is>
          <t>新安產險(寧)</t>
        </is>
      </c>
      <c r="O142" s="274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75" t="n">
        <v>200</v>
      </c>
      <c r="N143" s="92" t="inlineStr">
        <is>
          <t>1140715(維)</t>
        </is>
      </c>
      <c r="O143" s="274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75" t="n">
        <v>16510</v>
      </c>
      <c r="N144" s="92" t="inlineStr">
        <is>
          <t>11407安親班(寧)</t>
        </is>
      </c>
      <c r="O144" s="274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75" t="n">
        <v>6588</v>
      </c>
      <c r="N145" s="94" t="inlineStr">
        <is>
          <t>台灣人壽(寧)</t>
        </is>
      </c>
      <c r="O145" s="274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75" t="n">
        <v>360</v>
      </c>
      <c r="N146" s="92" t="inlineStr">
        <is>
          <t>1140721(維)</t>
        </is>
      </c>
      <c r="O146" s="274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75" t="n">
        <v>12848</v>
      </c>
      <c r="N147" s="94" t="inlineStr">
        <is>
          <t>全球人壽(寧)</t>
        </is>
      </c>
      <c r="O147" s="274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75" t="n">
        <v>360</v>
      </c>
      <c r="N148" s="92" t="inlineStr">
        <is>
          <t>1140728(維)</t>
        </is>
      </c>
      <c r="O148" s="274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75" t="n">
        <v>220</v>
      </c>
      <c r="N149" s="92" t="inlineStr">
        <is>
          <t>1140731(寧)</t>
        </is>
      </c>
      <c r="O149" s="274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75" t="n">
        <v>2233</v>
      </c>
      <c r="N150" s="92" t="inlineStr">
        <is>
          <t>11408準公共(維)</t>
        </is>
      </c>
      <c r="O150" s="274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75" t="n">
        <v>200</v>
      </c>
      <c r="N151" s="92" t="inlineStr">
        <is>
          <t>1140814(寧)</t>
        </is>
      </c>
      <c r="O151" s="274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75" t="n">
        <v>16160</v>
      </c>
      <c r="N152" s="92" t="inlineStr">
        <is>
          <t>11408安親班(寧)</t>
        </is>
      </c>
      <c r="O152" s="274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75" t="n">
        <v>2000</v>
      </c>
      <c r="N153" s="92" t="inlineStr">
        <is>
          <t>11409準公共(維)第一</t>
        </is>
      </c>
      <c r="O153" s="274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75" t="n">
        <v>1050</v>
      </c>
      <c r="N154" s="92" t="inlineStr">
        <is>
          <t>1140902(寧)</t>
        </is>
      </c>
      <c r="O154" s="274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75" t="n">
        <v>9150</v>
      </c>
      <c r="N155" s="92" t="inlineStr">
        <is>
          <t>11409安親班(寧)郵局</t>
        </is>
      </c>
      <c r="O155" s="274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75" t="n">
        <v>1800</v>
      </c>
      <c r="N156" s="92" t="inlineStr">
        <is>
          <t>11409英文教材(寧)郵局</t>
        </is>
      </c>
      <c r="O156" s="274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75" t="n">
        <v>2000</v>
      </c>
      <c r="N157" s="92" t="inlineStr">
        <is>
          <t>11409全科輔導教材(寧)郵局</t>
        </is>
      </c>
      <c r="O157" s="274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75" t="n">
        <v>840</v>
      </c>
      <c r="N158" s="92" t="inlineStr">
        <is>
          <t>11409羊奶費(寧)現金</t>
        </is>
      </c>
      <c r="O158" s="274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75" t="n">
        <v>6339</v>
      </c>
      <c r="N159" s="92" t="inlineStr">
        <is>
          <t>114年第1學期營養午餐(寧)第一</t>
        </is>
      </c>
      <c r="O159" s="274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75" t="n">
        <v>150</v>
      </c>
      <c r="N160" s="92" t="inlineStr">
        <is>
          <t>114年北屯國小教材費(寧)現金</t>
        </is>
      </c>
      <c r="O160" s="274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75" t="n">
        <v>662</v>
      </c>
      <c r="N161" s="92" t="inlineStr">
        <is>
          <t>114北屯國小合作社(寧)第一</t>
        </is>
      </c>
      <c r="O161" s="274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75" t="n">
        <v>2000</v>
      </c>
      <c r="N162" s="92" t="inlineStr">
        <is>
          <t>11410準公共(維)第一</t>
        </is>
      </c>
      <c r="O162" s="274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75" t="n">
        <v>650</v>
      </c>
      <c r="N163" s="92" t="inlineStr">
        <is>
          <t>1141018(寧)</t>
        </is>
      </c>
      <c r="O163" s="274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75" t="n">
        <v>8800</v>
      </c>
      <c r="N164" s="92" t="inlineStr">
        <is>
          <t>11410安親班(寧)郵局</t>
        </is>
      </c>
      <c r="O164" s="274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75" t="n">
        <v>200</v>
      </c>
      <c r="N165" s="92" t="inlineStr">
        <is>
          <t>1141020(維)</t>
        </is>
      </c>
      <c r="O165" s="274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75" t="n">
        <v>840</v>
      </c>
      <c r="N166" s="92" t="inlineStr">
        <is>
          <t>11410羊奶費(寧)現金</t>
        </is>
      </c>
      <c r="O166" s="274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75" t="n">
        <v>450</v>
      </c>
      <c r="N167" s="92" t="inlineStr">
        <is>
          <t>114幼稚園書包(維)現金</t>
        </is>
      </c>
      <c r="O167" s="274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75" t="n">
        <v>2000</v>
      </c>
      <c r="N168" s="92" t="inlineStr">
        <is>
          <t>11411準公共(維)第一</t>
        </is>
      </c>
      <c r="O168" s="274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75" t="n">
        <v>610</v>
      </c>
      <c r="N169" s="92" t="inlineStr">
        <is>
          <t>1141115(寧)</t>
        </is>
      </c>
      <c r="O169" s="274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75" t="n">
        <v>8800</v>
      </c>
      <c r="N170" s="92" t="inlineStr">
        <is>
          <t>11411安親班(寧)郵局</t>
        </is>
      </c>
      <c r="O170" s="274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75" t="n">
        <v>450</v>
      </c>
      <c r="N171" s="92" t="inlineStr">
        <is>
          <t>1141126(維)</t>
        </is>
      </c>
      <c r="O171" s="274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75" t="n">
        <v>840</v>
      </c>
      <c r="N172" s="92" t="inlineStr">
        <is>
          <t>11411羊奶費(寧)現金</t>
        </is>
      </c>
      <c r="O172" s="274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75" t="n">
        <v>2000</v>
      </c>
      <c r="N173" s="92" t="inlineStr">
        <is>
          <t>11412準公共(維)第一</t>
        </is>
      </c>
      <c r="O173" s="274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75" t="n">
        <v>1087</v>
      </c>
      <c r="N174" s="92" t="inlineStr">
        <is>
          <t>1141214(維)</t>
        </is>
      </c>
      <c r="O174" s="274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75" t="n">
        <v>11500</v>
      </c>
      <c r="N175" s="92" t="inlineStr">
        <is>
          <t>11412安親班(寧)郵局</t>
        </is>
      </c>
      <c r="O175" s="274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75" t="n">
        <v>200</v>
      </c>
      <c r="N176" s="92" t="inlineStr">
        <is>
          <t>1141216(寧)</t>
        </is>
      </c>
      <c r="O176" s="274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75" t="n">
        <v>896</v>
      </c>
      <c r="N177" s="92" t="inlineStr">
        <is>
          <t>11412羊奶費(寧)現金</t>
        </is>
      </c>
      <c r="O177" s="274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75" t="n">
        <v>200</v>
      </c>
      <c r="N178" s="92" t="inlineStr">
        <is>
          <t>1141228(維)</t>
        </is>
      </c>
      <c r="O178" s="274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75" t="n">
        <v>350</v>
      </c>
      <c r="N179" s="92" t="inlineStr">
        <is>
          <t>11412安親班(寧)現金</t>
        </is>
      </c>
      <c r="O179" s="274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75" t="n">
        <v>200</v>
      </c>
      <c r="N180" s="92" t="inlineStr">
        <is>
          <t>1141230(維)</t>
        </is>
      </c>
      <c r="O180" s="274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75" t="n">
        <v>200</v>
      </c>
      <c r="N181" s="92" t="inlineStr">
        <is>
          <t>1141231(寧)</t>
        </is>
      </c>
      <c r="O181" s="274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75" t="n">
        <v>2000</v>
      </c>
      <c r="N182" s="92" t="inlineStr">
        <is>
          <t>11501準公共(維)第一</t>
        </is>
      </c>
      <c r="O182" s="274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75" t="n">
        <v>200</v>
      </c>
      <c r="N183" s="92" t="inlineStr">
        <is>
          <t>1150102(寧)</t>
        </is>
      </c>
      <c r="O183" s="274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75" t="n">
        <v>16500</v>
      </c>
      <c r="N184" s="92" t="inlineStr">
        <is>
          <t>11501註冊費(維)第一</t>
        </is>
      </c>
      <c r="O184" s="274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75" t="n">
        <v>200</v>
      </c>
      <c r="N185" s="92" t="inlineStr">
        <is>
          <t>1150102(維)</t>
        </is>
      </c>
      <c r="O185" s="274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75" t="n">
        <v>9800</v>
      </c>
      <c r="N186" s="92" t="inlineStr">
        <is>
          <t>11501安親班(寧)郵局</t>
        </is>
      </c>
      <c r="O186" s="274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75" t="n">
        <v>300</v>
      </c>
      <c r="N187" s="92" t="inlineStr">
        <is>
          <t>1150115(寧)</t>
        </is>
      </c>
      <c r="O187" s="274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75" t="n">
        <v>9980</v>
      </c>
      <c r="N188" s="92" t="inlineStr">
        <is>
          <t>11502科學班(寧)郵局</t>
        </is>
      </c>
      <c r="O188" s="274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75" t="n">
        <v>650</v>
      </c>
      <c r="N189" s="92" t="inlineStr">
        <is>
          <t>1150117(寧)</t>
        </is>
      </c>
      <c r="O189" s="274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75" t="n">
        <v>2100</v>
      </c>
      <c r="N190" s="92" t="inlineStr">
        <is>
          <t>11502英文課(寧)郵局</t>
        </is>
      </c>
      <c r="O190" s="274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75" t="n">
        <v>1365</v>
      </c>
      <c r="N191" s="92" t="inlineStr">
        <is>
          <t>11502準公共(維)第一</t>
        </is>
      </c>
      <c r="O191" s="274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75" t="n">
        <v>1800</v>
      </c>
      <c r="N192" s="92" t="inlineStr">
        <is>
          <t>11502英文課教材(寧)郵局</t>
        </is>
      </c>
      <c r="O192" s="274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75" t="n">
        <v>2000</v>
      </c>
      <c r="N193" s="92" t="inlineStr">
        <is>
          <t>11503準公共(維)第一</t>
        </is>
      </c>
      <c r="O193" s="274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75" t="n">
        <v>12588</v>
      </c>
      <c r="N194" s="94" t="inlineStr">
        <is>
          <t>全球人壽(維)</t>
        </is>
      </c>
      <c r="O194" s="274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75" t="n">
        <v>200</v>
      </c>
      <c r="N195" s="92" t="inlineStr">
        <is>
          <t>1150319(維)</t>
        </is>
      </c>
      <c r="O195" s="274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75" t="n">
        <v>9150</v>
      </c>
      <c r="N196" s="92" t="inlineStr">
        <is>
          <t>11503安親班(寧)郵局</t>
        </is>
      </c>
      <c r="O196" s="274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75" t="n">
        <v>1614</v>
      </c>
      <c r="N197" s="94" t="inlineStr">
        <is>
          <t>新安產險(維)</t>
        </is>
      </c>
      <c r="O197" s="274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75" t="n">
        <v>200</v>
      </c>
      <c r="N198" s="92" t="inlineStr">
        <is>
          <t>1150322(維)</t>
        </is>
      </c>
      <c r="O198" s="274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75" t="n">
        <v>150</v>
      </c>
      <c r="N199" s="92" t="inlineStr">
        <is>
          <t>115國小補充教材(寧)現金</t>
        </is>
      </c>
      <c r="O199" s="274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75" t="n">
        <v>8427</v>
      </c>
      <c r="N200" s="94" t="inlineStr">
        <is>
          <t>台灣人壽(維)</t>
        </is>
      </c>
      <c r="O200" s="274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75" t="n">
        <v>200</v>
      </c>
      <c r="N201" s="92" t="inlineStr">
        <is>
          <t>1150330(寧)</t>
        </is>
      </c>
      <c r="O201" s="274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75" t="n">
        <v>840</v>
      </c>
      <c r="N202" s="92" t="inlineStr">
        <is>
          <t>11503羊奶費(寧)現金</t>
        </is>
      </c>
      <c r="O202" s="274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75" t="n">
        <v>5809</v>
      </c>
      <c r="N203" s="92" t="inlineStr">
        <is>
          <t>114年度第2學期國小學雜費(寧)第一</t>
        </is>
      </c>
      <c r="O203" s="274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75" t="n">
        <v>455</v>
      </c>
      <c r="N204" s="92" t="inlineStr">
        <is>
          <t>114年度第2學期國小合作社費(寧)第一</t>
        </is>
      </c>
      <c r="O204" s="274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75" t="n">
        <v>2000</v>
      </c>
      <c r="N205" s="92" t="inlineStr">
        <is>
          <t>11504準公共(維)第一</t>
        </is>
      </c>
      <c r="O205" s="274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75" t="n">
        <v>650</v>
      </c>
      <c r="N206" s="92" t="inlineStr">
        <is>
          <t>1150416(寧)</t>
        </is>
      </c>
      <c r="O206" s="274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75" t="n">
        <v>8800</v>
      </c>
      <c r="N207" s="92" t="inlineStr">
        <is>
          <t>11504安親班(寧)郵局</t>
        </is>
      </c>
      <c r="O207" s="274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75" t="n">
        <v>150</v>
      </c>
      <c r="N208" s="92" t="inlineStr">
        <is>
          <t>1150417(維)</t>
        </is>
      </c>
      <c r="O208" s="274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75" t="n">
        <v>250</v>
      </c>
      <c r="N209" s="92" t="inlineStr">
        <is>
          <t>1150425(維)</t>
        </is>
      </c>
      <c r="O209" s="274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75" t="n">
        <v>2000</v>
      </c>
      <c r="N210" s="92" t="inlineStr">
        <is>
          <t>11505準公共(維)第一</t>
        </is>
      </c>
      <c r="O210" s="274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75" t="n">
        <v>150</v>
      </c>
      <c r="N211" s="92" t="inlineStr">
        <is>
          <t>1150520(維)</t>
        </is>
      </c>
      <c r="O211" s="274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75" t="n">
        <v>8800</v>
      </c>
      <c r="N212" s="92" t="inlineStr">
        <is>
          <t>11505安親班(寧)郵局</t>
        </is>
      </c>
      <c r="O212" s="274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75" t="n">
        <v>2000</v>
      </c>
      <c r="N213" s="92" t="inlineStr">
        <is>
          <t>11506準公共(維)第一</t>
        </is>
      </c>
      <c r="O213" s="274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75" t="n">
        <v>650</v>
      </c>
      <c r="N214" s="92" t="inlineStr">
        <is>
          <t>1150606(寧)</t>
        </is>
      </c>
      <c r="O214" s="274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75" t="n">
        <v>11150</v>
      </c>
      <c r="N215" s="92" t="inlineStr">
        <is>
          <t>11506安親班(寧)郵局</t>
        </is>
      </c>
      <c r="O215" s="274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75" t="n">
        <v>200</v>
      </c>
      <c r="N216" s="92" t="inlineStr">
        <is>
          <t>1150610(維)</t>
        </is>
      </c>
      <c r="O216" s="274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75" t="n">
        <v>17100</v>
      </c>
      <c r="N217" s="92" t="inlineStr">
        <is>
          <t>115年下學期註冊費(維)第一</t>
        </is>
      </c>
      <c r="O217" s="274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75" t="n">
        <v>200</v>
      </c>
      <c r="N218" s="92" t="inlineStr">
        <is>
          <t>1150613(寧)</t>
        </is>
      </c>
      <c r="O218" s="274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75" t="n">
        <v>220</v>
      </c>
      <c r="N219" s="92" t="inlineStr">
        <is>
          <t>1150625(寧)</t>
        </is>
      </c>
      <c r="O219" s="274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75" t="n">
        <v>2000</v>
      </c>
      <c r="N220" s="92" t="inlineStr">
        <is>
          <t>11507準公共(維)第一</t>
        </is>
      </c>
      <c r="O220" s="274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75" t="n">
        <v>1614</v>
      </c>
      <c r="N221" s="94" t="inlineStr">
        <is>
          <t>新安產險(寧)1150703</t>
        </is>
      </c>
      <c r="O221" s="274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75" t="n">
        <v>200</v>
      </c>
      <c r="N222" s="92" t="inlineStr">
        <is>
          <t>1150709(寧)</t>
        </is>
      </c>
      <c r="O222" s="274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75" t="n">
        <v>17130</v>
      </c>
      <c r="N223" s="92" t="inlineStr">
        <is>
          <t>11507安親班(寧)郵局</t>
        </is>
      </c>
      <c r="O223" s="274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75" t="n">
        <v>6592</v>
      </c>
      <c r="N224" s="94" t="inlineStr">
        <is>
          <t>台灣人壽(寧)1150723</t>
        </is>
      </c>
      <c r="O224" s="274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75" t="n">
        <v>200</v>
      </c>
      <c r="N225" s="92" t="inlineStr">
        <is>
          <t>1150721(維)</t>
        </is>
      </c>
      <c r="O225" s="274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75" t="n">
        <v>12848</v>
      </c>
      <c r="N226" s="94" t="inlineStr">
        <is>
          <t>全球人壽(寧)1150715</t>
        </is>
      </c>
      <c r="O226" s="274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75" t="n">
        <v>2000</v>
      </c>
      <c r="N227" s="92" t="inlineStr">
        <is>
          <t>11508準公共(維)第一</t>
        </is>
      </c>
      <c r="O227" s="274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75" t="n">
        <v>17130</v>
      </c>
      <c r="N228" s="92" t="inlineStr">
        <is>
          <t>11508安親班(寧)郵局</t>
        </is>
      </c>
      <c r="O228" s="274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75" t="n">
        <v>1730</v>
      </c>
      <c r="N229" s="94" t="inlineStr">
        <is>
          <t>潘寧國小制服、運動服</t>
        </is>
      </c>
      <c r="O229" s="274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75" t="n">
        <v>2266</v>
      </c>
      <c r="N230" s="92" t="inlineStr">
        <is>
          <t>11509準公共(維)第一</t>
        </is>
      </c>
      <c r="O230" s="274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75" t="n">
        <v>9150</v>
      </c>
      <c r="N231" s="92" t="inlineStr">
        <is>
          <t>11509安親班(寧)郵局</t>
        </is>
      </c>
      <c r="O231" s="274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75" t="n">
        <v>150</v>
      </c>
      <c r="N232" s="92" t="inlineStr">
        <is>
          <t>11509潘寧國小教材費(現金)</t>
        </is>
      </c>
      <c r="O232" s="274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75" t="n">
        <v>176</v>
      </c>
      <c r="N233" s="92" t="inlineStr">
        <is>
          <t>11509潘寧國小教材費(聯邦)</t>
        </is>
      </c>
      <c r="O233" s="274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76" t="n">
        <v>2036</v>
      </c>
      <c r="N234" s="98" t="inlineStr">
        <is>
          <t>11509潘寧國小學雜費(第一)</t>
        </is>
      </c>
      <c r="O234" s="274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76" t="n">
        <v>600</v>
      </c>
      <c r="N235" s="132" t="inlineStr">
        <is>
          <t>11509潘寧國小合作社學雜費(第一)</t>
        </is>
      </c>
      <c r="O235" s="274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274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274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274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274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274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274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274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274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274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274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274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274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274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274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274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274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274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274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274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274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274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274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274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274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274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274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274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274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274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274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274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274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274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274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274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274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274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274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274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274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274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274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274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274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274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274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274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274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274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274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274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274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274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274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274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274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274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274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274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274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274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274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274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274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274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274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274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274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274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274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274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274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274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274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274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274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274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274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274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274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274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274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274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274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274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274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274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274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274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274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274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274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274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274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274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274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274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274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274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274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274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274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274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274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274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274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274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274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274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274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274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274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274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274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274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274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274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274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274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274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274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274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274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274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274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274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274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274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274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274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274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274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274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274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274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274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274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274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274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274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274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274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274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274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274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274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274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274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274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274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274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274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274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274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274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274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274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274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274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274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274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274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274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274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274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274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274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274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274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274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274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274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274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274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274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274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274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274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274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274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274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274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274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274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274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274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274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274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274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274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274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274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274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274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274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274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274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274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274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274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274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274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274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274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274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274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274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274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274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274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274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274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274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274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274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274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274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274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274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274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274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274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274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274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274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274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274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274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274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274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274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274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274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274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274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274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274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274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274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274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274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274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274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274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274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274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274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274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274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274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274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274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274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274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274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274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274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274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274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274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274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274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274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274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274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274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274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274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274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274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274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274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274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274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274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274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274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274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274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274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274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274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274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274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274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274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274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274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274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274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274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274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274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274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274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274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274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274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274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274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274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274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274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274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274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274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274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274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274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274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274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274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274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274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274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274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274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274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274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274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274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274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274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274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274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274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274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274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274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274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274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274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274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274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274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274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274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274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274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274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274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274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274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274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274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274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274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274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274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274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274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274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274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274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274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274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274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274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274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274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274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274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274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274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274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274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274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274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274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274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274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274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274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274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274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274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274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274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274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274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274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274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274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274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274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274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274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274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274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274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274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274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274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274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274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274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274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274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B72:H72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2"/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5"/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8"/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77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77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77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77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77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77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77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77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77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77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77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77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77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77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77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77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77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77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29"/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78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78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78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5"/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8"/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=請款單月份清單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3" customWidth="1" style="134" min="3" max="3"/>
    <col width="13" customWidth="1" style="134" min="4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2"/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252" t="n">
        <v>15000</v>
      </c>
      <c r="D5" s="195" t="n"/>
      <c r="E5" s="249" t="n">
        <v>15000</v>
      </c>
      <c r="F5" s="53" t="inlineStr">
        <is>
          <t>00989A</t>
        </is>
      </c>
      <c r="G5" s="279" t="n">
        <v>1000</v>
      </c>
      <c r="H5" s="280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252" t="n">
        <v>200500</v>
      </c>
      <c r="D6" s="249" t="n">
        <v>6551.22</v>
      </c>
      <c r="E6" s="249" t="n">
        <v>6335.59</v>
      </c>
      <c r="F6" s="53" t="inlineStr">
        <is>
          <t>OKLO</t>
        </is>
      </c>
      <c r="G6" s="279" t="n">
        <v>22</v>
      </c>
      <c r="H6" s="280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279" t="n">
        <v>22</v>
      </c>
      <c r="H7" s="280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252" t="n">
        <v>100000</v>
      </c>
      <c r="D8" s="249" t="n">
        <v>3229.35</v>
      </c>
      <c r="E8" s="249" t="n">
        <v>3337</v>
      </c>
      <c r="F8" s="53" t="inlineStr">
        <is>
          <t>OKLO</t>
        </is>
      </c>
      <c r="G8" s="279" t="n">
        <v>28</v>
      </c>
      <c r="H8" s="280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252" t="n">
        <v>50000</v>
      </c>
      <c r="D9" s="249" t="n">
        <v>1602</v>
      </c>
      <c r="E9" s="249" t="n">
        <v>1624.57</v>
      </c>
      <c r="F9" s="53" t="inlineStr">
        <is>
          <t>NLR</t>
        </is>
      </c>
      <c r="G9" s="279" t="n">
        <v>13</v>
      </c>
      <c r="H9" s="280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252" t="n">
        <v>50000</v>
      </c>
      <c r="D10" s="249" t="n">
        <v>1600.51</v>
      </c>
      <c r="E10" s="249" t="n">
        <v>1677.56</v>
      </c>
      <c r="F10" s="53" t="inlineStr">
        <is>
          <t>OKLO</t>
        </is>
      </c>
      <c r="G10" s="279" t="n">
        <v>17</v>
      </c>
      <c r="H10" s="280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252" t="n">
        <v>50000</v>
      </c>
      <c r="D11" s="249" t="n">
        <v>1580.78</v>
      </c>
      <c r="E11" s="249" t="n">
        <v>1650</v>
      </c>
      <c r="F11" s="53" t="inlineStr">
        <is>
          <t>OKLO</t>
        </is>
      </c>
      <c r="G11" s="279" t="n">
        <v>22</v>
      </c>
      <c r="H11" s="280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252" t="n">
        <v>5507</v>
      </c>
      <c r="D12" s="195" t="n"/>
      <c r="E12" s="249" t="n">
        <v>5507</v>
      </c>
      <c r="F12" s="53" t="inlineStr">
        <is>
          <t>00989A</t>
        </is>
      </c>
      <c r="G12" s="279" t="n">
        <v>100</v>
      </c>
      <c r="H12" s="280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252" t="n">
        <v>1800</v>
      </c>
      <c r="D13" s="195" t="n"/>
      <c r="E13" s="249" t="n">
        <v>1752</v>
      </c>
      <c r="F13" s="53" t="inlineStr">
        <is>
          <t>00989A</t>
        </is>
      </c>
      <c r="G13" s="279" t="n">
        <v>2</v>
      </c>
      <c r="H13" s="280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5"/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252" t="n">
        <v>17697</v>
      </c>
      <c r="D18" s="195" t="n"/>
      <c r="E18" s="249" t="n">
        <v>17697</v>
      </c>
      <c r="F18" s="53" t="inlineStr">
        <is>
          <t>00989A</t>
        </is>
      </c>
      <c r="G18" s="279" t="n">
        <v>1000</v>
      </c>
      <c r="H18" s="280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252" t="n">
        <v>147196</v>
      </c>
      <c r="D19" s="249" t="n">
        <v>4682.84</v>
      </c>
      <c r="E19" s="195" t="n"/>
      <c r="F19" s="53" t="inlineStr">
        <is>
          <t>OKLO</t>
        </is>
      </c>
      <c r="G19" s="279" t="n">
        <v>67</v>
      </c>
      <c r="H19" s="280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252" t="n">
        <v>11600</v>
      </c>
      <c r="D20" s="195" t="n"/>
      <c r="E20" s="249" t="n">
        <v>11600</v>
      </c>
      <c r="F20" s="53" t="inlineStr">
        <is>
          <t>NLR</t>
        </is>
      </c>
      <c r="G20" s="279" t="n">
        <v>100</v>
      </c>
      <c r="H20" s="280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2"/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5"/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2026-09-18T04:25:57Z</dcterms:modified>
  <cp:lastModifiedBy>Norris Pan</cp:lastModifiedBy>
  <cp:revision>0</cp:revision>
</cp:coreProperties>
</file>