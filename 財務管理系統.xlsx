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收支明細" sheetId="2" state="visible" r:id="rId2"/>
    <sheet xmlns:r="http://schemas.openxmlformats.org/officeDocument/2006/relationships" name="貸款總覽" sheetId="3" state="visible" r:id="rId3"/>
    <sheet xmlns:r="http://schemas.openxmlformats.org/officeDocument/2006/relationships" name="基金配息紀錄" sheetId="4" state="visible" r:id="rId4"/>
    <sheet xmlns:r="http://schemas.openxmlformats.org/officeDocument/2006/relationships" name="股票投資" sheetId="5" state="visible" r:id="rId5"/>
    <sheet xmlns:r="http://schemas.openxmlformats.org/officeDocument/2006/relationships" name="信用卡年支出" sheetId="6" state="visible" r:id="rId6"/>
    <sheet xmlns:r="http://schemas.openxmlformats.org/officeDocument/2006/relationships" name="資產負債表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/d"/>
    <numFmt numFmtId="171" formatCode="0.000"/>
  </numFmts>
  <fonts count="2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family val="2"/>
      <b val="1"/>
      <color rgb="FFFFFFFF"/>
      <sz val="16"/>
    </font>
    <font>
      <name val="Arial"/>
      <charset val="1"/>
      <family val="0"/>
      <color rgb="FF000000"/>
      <sz val="11"/>
    </font>
    <font>
      <name val="Noto Sans CJK SC"/>
      <family val="2"/>
      <i val="1"/>
      <color rgb="FF7F7F7F"/>
      <sz val="9"/>
    </font>
    <font>
      <name val="Noto Sans CJK SC"/>
      <family val="2"/>
      <color rgb="FF0000FF"/>
      <sz val="9"/>
    </font>
    <font>
      <name val="Arial"/>
      <charset val="1"/>
      <family val="0"/>
      <i val="1"/>
      <color rgb="FF7F7F7F"/>
      <sz val="9"/>
    </font>
    <font>
      <name val="Noto Sans CJK SC"/>
      <family val="2"/>
      <b val="1"/>
      <color rgb="FFFFFFFF"/>
      <sz val="11"/>
    </font>
    <font>
      <name val="Noto Sans CJK SC"/>
      <family val="2"/>
      <b val="1"/>
      <color rgb="FF000000"/>
      <sz val="11"/>
    </font>
    <font>
      <name val="Noto Sans CJK SC"/>
      <family val="2"/>
      <color rgb="FF000000"/>
      <sz val="11"/>
    </font>
    <font>
      <name val="Arial"/>
      <charset val="1"/>
      <family val="0"/>
      <color rgb="FF008000"/>
      <sz val="11"/>
    </font>
    <font>
      <name val="Noto Sans CJK SC"/>
      <family val="2"/>
      <color rgb="FF7F7F7F"/>
      <sz val="9"/>
    </font>
    <font>
      <name val="Arial"/>
      <charset val="1"/>
      <family val="0"/>
      <color rgb="FFC00000"/>
      <sz val="11"/>
    </font>
    <font>
      <name val="Arial"/>
      <charset val="1"/>
      <family val="0"/>
      <b val="1"/>
      <color rgb="FF000000"/>
      <sz val="11"/>
    </font>
    <font>
      <name val="Arial"/>
      <charset val="1"/>
      <family val="0"/>
      <color rgb="FF7F7F7F"/>
      <sz val="9"/>
    </font>
    <font>
      <name val="Arial"/>
      <charset val="1"/>
      <family val="0"/>
      <b val="1"/>
      <color rgb="FFFFFFFF"/>
      <sz val="11"/>
    </font>
    <font>
      <name val="Noto Sans CJK SC"/>
      <family val="2"/>
      <b val="1"/>
      <color rgb="FFFFFFFF"/>
      <sz val="15"/>
    </font>
    <font>
      <name val="Noto Sans CJK SC"/>
      <family val="2"/>
      <color rgb="FF0000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C00000"/>
      <sz val="11"/>
    </font>
    <font>
      <name val="Noto Sans CJK SC"/>
      <family val="2"/>
      <b val="1"/>
      <color rgb="FF000000"/>
      <sz val="9"/>
    </font>
    <font>
      <name val="Arial"/>
      <charset val="1"/>
      <family val="0"/>
      <b val="1"/>
      <color rgb="FF000000"/>
      <sz val="9"/>
    </font>
    <font>
      <name val="Noto Sans CJK SC"/>
      <family val="2"/>
      <b val="1"/>
      <color rgb="FF000000"/>
      <sz val="8"/>
    </font>
    <font>
      <name val="Arial"/>
      <charset val="1"/>
      <family val="0"/>
      <b val="1"/>
      <color rgb="FF000000"/>
      <sz val="8"/>
    </font>
    <font>
      <name val="Arial"/>
      <charset val="1"/>
      <family val="0"/>
      <color rgb="FF0000FF"/>
      <sz val="9"/>
    </font>
    <font>
      <name val="Noto Sans CJK SC"/>
      <family val="2"/>
      <i val="1"/>
      <color rgb="FF7F7F7F"/>
      <sz val="11"/>
    </font>
    <font>
      <name val="Arial"/>
      <charset val="1"/>
      <family val="0"/>
      <i val="1"/>
      <color rgb="FF7F7F7F"/>
      <sz val="11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E2EFDA"/>
      </patternFill>
    </fill>
  </fills>
  <borders count="11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8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164" fontId="28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3" borderId="2" applyAlignment="1" pivotButton="0" quotePrefix="0" xfId="0">
      <alignment horizontal="left" vertical="center"/>
    </xf>
    <xf numFmtId="0" fontId="9" fillId="4" borderId="1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11" fillId="0" borderId="2" applyAlignment="1" pivotButton="0" quotePrefix="0" xfId="0">
      <alignment horizontal="left" vertical="center"/>
    </xf>
    <xf numFmtId="164" fontId="12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165" fontId="14" fillId="0" borderId="2" applyAlignment="1" pivotButton="0" quotePrefix="0" xfId="0">
      <alignment horizontal="center" vertical="center"/>
    </xf>
    <xf numFmtId="164" fontId="15" fillId="5" borderId="2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6" fontId="14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168" fontId="12" fillId="0" borderId="2" applyAlignment="1" pivotButton="0" quotePrefix="0" xfId="0">
      <alignment horizontal="center" vertical="center"/>
    </xf>
    <xf numFmtId="169" fontId="12" fillId="0" borderId="2" applyAlignment="1" pivotButton="0" quotePrefix="0" xfId="0">
      <alignment horizontal="center" vertical="center"/>
    </xf>
    <xf numFmtId="10" fontId="12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8" fillId="2" borderId="1" applyAlignment="1" pivotButton="0" quotePrefix="0" xfId="0">
      <alignment horizontal="center" vertical="center"/>
    </xf>
    <xf numFmtId="0" fontId="19" fillId="6" borderId="2" applyAlignment="1" pivotButton="0" quotePrefix="0" xfId="0">
      <alignment horizontal="left" vertical="center"/>
    </xf>
    <xf numFmtId="167" fontId="20" fillId="6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4" fontId="20" fillId="0" borderId="2" applyAlignment="1" pivotButton="0" quotePrefix="0" xfId="0">
      <alignment horizontal="center" vertical="center"/>
    </xf>
    <xf numFmtId="0" fontId="16" fillId="0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left" vertical="center"/>
    </xf>
    <xf numFmtId="165" fontId="14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left" vertical="center"/>
    </xf>
    <xf numFmtId="0" fontId="11" fillId="8" borderId="2" applyAlignment="1" pivotButton="0" quotePrefix="0" xfId="0">
      <alignment horizontal="left" vertical="center"/>
    </xf>
    <xf numFmtId="165" fontId="14" fillId="8" borderId="2" applyAlignment="1" pivotButton="0" quotePrefix="0" xfId="0">
      <alignment horizontal="center" vertical="center"/>
    </xf>
    <xf numFmtId="0" fontId="16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/>
    </xf>
    <xf numFmtId="165" fontId="21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 wrapText="1"/>
    </xf>
    <xf numFmtId="0" fontId="5" fillId="7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center" vertical="center"/>
    </xf>
    <xf numFmtId="164" fontId="20" fillId="7" borderId="2" applyAlignment="1" pivotButton="0" quotePrefix="0" xfId="0">
      <alignment horizontal="center" vertical="center"/>
    </xf>
    <xf numFmtId="10" fontId="20" fillId="7" borderId="2" applyAlignment="1" pivotButton="0" quotePrefix="0" xfId="0">
      <alignment horizontal="center" vertical="center"/>
    </xf>
    <xf numFmtId="170" fontId="20" fillId="6" borderId="2" applyAlignment="1" pivotButton="0" quotePrefix="0" xfId="0">
      <alignment horizontal="center" vertical="center"/>
    </xf>
    <xf numFmtId="1" fontId="5" fillId="7" borderId="2" applyAlignment="1" pivotButton="0" quotePrefix="0" xfId="0">
      <alignment horizontal="center" vertical="center"/>
    </xf>
    <xf numFmtId="164" fontId="5" fillId="7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left" vertical="center"/>
    </xf>
    <xf numFmtId="0" fontId="5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9" fillId="8" borderId="2" applyAlignment="1" pivotButton="0" quotePrefix="0" xfId="0">
      <alignment horizontal="center" vertical="center"/>
    </xf>
    <xf numFmtId="164" fontId="20" fillId="8" borderId="2" applyAlignment="1" pivotButton="0" quotePrefix="0" xfId="0">
      <alignment horizontal="center" vertical="center"/>
    </xf>
    <xf numFmtId="10" fontId="20" fillId="8" borderId="2" applyAlignment="1" pivotButton="0" quotePrefix="0" xfId="0">
      <alignment horizontal="center" vertical="center"/>
    </xf>
    <xf numFmtId="1" fontId="5" fillId="8" borderId="2" applyAlignment="1" pivotButton="0" quotePrefix="0" xfId="0">
      <alignment horizontal="center" vertical="center"/>
    </xf>
    <xf numFmtId="164" fontId="5" fillId="8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center" vertical="center"/>
    </xf>
    <xf numFmtId="10" fontId="20" fillId="0" borderId="2" applyAlignment="1" pivotButton="0" quotePrefix="0" xfId="0">
      <alignment horizontal="center" vertical="center"/>
    </xf>
    <xf numFmtId="1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24" fillId="5" borderId="2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0" fontId="26" fillId="0" borderId="2" applyAlignment="1" pivotButton="0" quotePrefix="0" xfId="0">
      <alignment horizontal="left" vertical="center" wrapText="1"/>
    </xf>
    <xf numFmtId="169" fontId="20" fillId="0" borderId="2" applyAlignment="1" pivotButton="0" quotePrefix="0" xfId="0">
      <alignment horizontal="center" vertical="center"/>
    </xf>
    <xf numFmtId="168" fontId="20" fillId="0" borderId="2" applyAlignment="1" pivotButton="0" quotePrefix="0" xfId="0">
      <alignment horizontal="center" vertical="center"/>
    </xf>
    <xf numFmtId="169" fontId="5" fillId="0" borderId="2" applyAlignment="1" pivotButton="0" quotePrefix="0" xfId="0">
      <alignment horizontal="center" vertical="center"/>
    </xf>
    <xf numFmtId="2" fontId="5" fillId="0" borderId="2" applyAlignment="1" pivotButton="0" quotePrefix="0" xfId="0">
      <alignment horizontal="center" vertical="center"/>
    </xf>
    <xf numFmtId="168" fontId="5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8" fontId="15" fillId="5" borderId="2" applyAlignment="1" pivotButton="0" quotePrefix="0" xfId="0">
      <alignment horizontal="center" vertical="center"/>
    </xf>
    <xf numFmtId="169" fontId="15" fillId="5" borderId="2" applyAlignment="1" pivotButton="0" quotePrefix="0" xfId="0">
      <alignment horizontal="center" vertical="center"/>
    </xf>
    <xf numFmtId="171" fontId="20" fillId="0" borderId="2" applyAlignment="1" pivotButton="0" quotePrefix="0" xfId="0">
      <alignment horizontal="center" vertical="center"/>
    </xf>
    <xf numFmtId="10" fontId="5" fillId="0" borderId="2" applyAlignment="1" pivotButton="0" quotePrefix="0" xfId="0">
      <alignment horizontal="center" vertical="center"/>
    </xf>
    <xf numFmtId="0" fontId="20" fillId="3" borderId="2" applyAlignment="1" pivotButton="0" quotePrefix="0" xfId="0">
      <alignment horizontal="center" vertical="center"/>
    </xf>
    <xf numFmtId="171" fontId="20" fillId="6" borderId="2" applyAlignment="1" pivotButton="0" quotePrefix="0" xfId="0">
      <alignment horizontal="center" vertical="center"/>
    </xf>
    <xf numFmtId="164" fontId="20" fillId="6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171" fontId="15" fillId="5" borderId="2" applyAlignment="1" pivotButton="0" quotePrefix="0" xfId="0">
      <alignment horizontal="center" vertical="center"/>
    </xf>
    <xf numFmtId="10" fontId="15" fillId="5" borderId="2" applyAlignment="1" pivotButton="0" quotePrefix="0" xfId="0">
      <alignment horizontal="center" vertical="center"/>
    </xf>
    <xf numFmtId="0" fontId="22" fillId="5" borderId="2" applyAlignment="1" pivotButton="0" quotePrefix="0" xfId="0">
      <alignment horizontal="center" vertical="center"/>
    </xf>
    <xf numFmtId="3" fontId="20" fillId="0" borderId="2" applyAlignment="1" pivotButton="0" quotePrefix="0" xfId="0">
      <alignment horizontal="center" vertical="center"/>
    </xf>
    <xf numFmtId="4" fontId="20" fillId="0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left" vertical="center"/>
    </xf>
    <xf numFmtId="0" fontId="19" fillId="0" borderId="2" applyAlignment="1" pivotButton="0" quotePrefix="0" xfId="0">
      <alignment horizontal="left" vertical="center"/>
    </xf>
    <xf numFmtId="0" fontId="20" fillId="0" borderId="2" applyAlignment="1" pivotButton="0" quotePrefix="0" xfId="0">
      <alignment horizontal="left" vertical="center"/>
    </xf>
    <xf numFmtId="164" fontId="15" fillId="5" borderId="2" applyAlignment="1" pivotButton="0" quotePrefix="0" xfId="0">
      <alignment horizontal="left" vertical="center"/>
    </xf>
    <xf numFmtId="169" fontId="20" fillId="6" borderId="2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2" fontId="20" fillId="6" borderId="2" applyAlignment="1" pivotButton="0" quotePrefix="0" xfId="0">
      <alignment horizontal="center" vertical="center"/>
    </xf>
    <xf numFmtId="0" fontId="27" fillId="0" borderId="2" applyAlignment="1" pivotButton="0" quotePrefix="0" xfId="0">
      <alignment horizontal="left" vertical="center"/>
    </xf>
    <xf numFmtId="164" fontId="28" fillId="0" borderId="2" applyAlignment="1" pivotButton="0" quotePrefix="0" xfId="0">
      <alignment horizontal="center" vertical="center"/>
    </xf>
    <xf numFmtId="166" fontId="14" fillId="7" borderId="2" applyAlignment="1" pivotButton="0" quotePrefix="0" xfId="0">
      <alignment horizontal="center" vertical="center"/>
    </xf>
    <xf numFmtId="166" fontId="14" fillId="8" borderId="2" applyAlignment="1" pivotButton="0" quotePrefix="0" xfId="0">
      <alignment horizontal="center" vertical="center"/>
    </xf>
    <xf numFmtId="166" fontId="21" fillId="5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F3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93" min="1" max="1"/>
    <col width="26" customWidth="1" style="93" min="2" max="2"/>
    <col width="18" customWidth="1" style="93" min="3" max="3"/>
    <col width="20" customWidth="1" style="93" min="4" max="4"/>
    <col width="18" customWidth="1" style="93" min="5" max="5"/>
    <col width="20" customWidth="1" style="93" min="6" max="6"/>
    <col width="3" customWidth="1" style="93" min="7" max="7"/>
  </cols>
  <sheetData>
    <row r="1" ht="36" customHeight="1" s="94">
      <c r="A1" s="95" t="inlineStr">
        <is>
          <t>💼  個人財務管理總表 ── 儀表板</t>
        </is>
      </c>
      <c r="B1" s="96" t="n"/>
      <c r="C1" s="96" t="n"/>
      <c r="D1" s="96" t="n"/>
      <c r="E1" s="96" t="n"/>
      <c r="F1" s="97" t="n"/>
    </row>
    <row r="2" ht="15" customHeight="1" s="94">
      <c r="A2" s="98" t="n"/>
      <c r="B2" s="99" t="inlineStr">
        <is>
          <t>最後更新日期：</t>
        </is>
      </c>
      <c r="C2" s="100" t="inlineStr">
        <is>
          <t>請填入日期</t>
        </is>
      </c>
      <c r="D2" s="99" t="inlineStr">
        <is>
          <t>（例如：2026/09/03）</t>
        </is>
      </c>
    </row>
    <row r="4" ht="21.75" customHeight="1" s="94">
      <c r="A4" s="101" t="inlineStr">
        <is>
          <t>📊 本月收支總覽</t>
        </is>
      </c>
      <c r="B4" s="96" t="n"/>
      <c r="C4" s="96" t="n"/>
      <c r="D4" s="96" t="n"/>
      <c r="E4" s="96" t="n"/>
      <c r="F4" s="97" t="n"/>
    </row>
    <row r="5" ht="15" customHeight="1" s="94">
      <c r="B5" s="102" t="inlineStr">
        <is>
          <t>項目</t>
        </is>
      </c>
      <c r="C5" s="102" t="inlineStr">
        <is>
          <t>金額</t>
        </is>
      </c>
      <c r="D5" s="103" t="inlineStr">
        <is>
          <t>說明</t>
        </is>
      </c>
      <c r="E5" s="104" t="n"/>
      <c r="F5" s="105" t="n"/>
    </row>
    <row r="6" ht="15" customHeight="1" s="94">
      <c r="B6" s="106" t="inlineStr">
        <is>
          <t>月收入合計</t>
        </is>
      </c>
      <c r="C6" s="107">
        <f>收支明細!C14</f>
        <v/>
      </c>
      <c r="D6" s="108" t="inlineStr">
        <is>
          <t>含薪資與基金預估配息</t>
        </is>
      </c>
      <c r="E6" s="104" t="n"/>
      <c r="F6" s="105" t="n"/>
    </row>
    <row r="7" ht="15" customHeight="1" s="94">
      <c r="B7" s="106" t="inlineStr">
        <is>
          <t>月支出合計</t>
        </is>
      </c>
      <c r="C7" s="109">
        <f>收支明細!C34</f>
        <v/>
      </c>
      <c r="D7" s="108" t="inlineStr">
        <is>
          <t>含房貸、生活費、保險等</t>
        </is>
      </c>
      <c r="E7" s="104" t="n"/>
      <c r="F7" s="105" t="n"/>
    </row>
    <row r="8" ht="15" customHeight="1" s="94">
      <c r="B8" s="103" t="inlineStr">
        <is>
          <t>月淨結餘</t>
        </is>
      </c>
      <c r="C8" s="110">
        <f>C6+C7</f>
        <v/>
      </c>
      <c r="D8" s="111" t="n"/>
    </row>
    <row r="10" ht="21.75" customHeight="1" s="94">
      <c r="A10" s="101" t="inlineStr">
        <is>
          <t>🏦 資產負債總覽</t>
        </is>
      </c>
      <c r="B10" s="96" t="n"/>
      <c r="C10" s="96" t="n"/>
      <c r="D10" s="96" t="n"/>
      <c r="E10" s="96" t="n"/>
      <c r="F10" s="97" t="n"/>
    </row>
    <row r="11" ht="15" customHeight="1" s="94">
      <c r="B11" s="102" t="inlineStr">
        <is>
          <t>項目</t>
        </is>
      </c>
      <c r="C11" s="102" t="inlineStr">
        <is>
          <t>金額</t>
        </is>
      </c>
      <c r="D11" s="103" t="inlineStr">
        <is>
          <t>說明</t>
        </is>
      </c>
      <c r="E11" s="104" t="n"/>
      <c r="F11" s="105" t="n"/>
    </row>
    <row r="12" ht="15" customHeight="1" s="94">
      <c r="B12" s="106" t="inlineStr">
        <is>
          <t>總資產</t>
        </is>
      </c>
      <c r="C12" s="107">
        <f>資產負債表!C14</f>
        <v/>
      </c>
      <c r="D12" s="108" t="inlineStr">
        <is>
          <t>基金市值＋不動產＋股票＋現金</t>
        </is>
      </c>
      <c r="E12" s="104" t="n"/>
      <c r="F12" s="105" t="n"/>
    </row>
    <row r="13" ht="15" customHeight="1" s="94">
      <c r="B13" s="106" t="inlineStr">
        <is>
          <t>總負債</t>
        </is>
      </c>
      <c r="C13" s="112">
        <f>資產負債表!C26</f>
        <v/>
      </c>
      <c r="D13" s="108" t="inlineStr">
        <is>
          <t>各項貸款餘額合計</t>
        </is>
      </c>
      <c r="E13" s="104" t="n"/>
      <c r="F13" s="105" t="n"/>
    </row>
    <row r="14" ht="15" customHeight="1" s="94">
      <c r="B14" s="103" t="inlineStr">
        <is>
          <t>淨值（資產－負債）</t>
        </is>
      </c>
      <c r="C14" s="110">
        <f>C12-C13</f>
        <v/>
      </c>
      <c r="D14" s="111" t="n"/>
    </row>
    <row r="15" ht="15" customHeight="1" s="94">
      <c r="B15" s="106" t="inlineStr">
        <is>
          <t>負債比</t>
        </is>
      </c>
      <c r="C15" s="113">
        <f>C13/C12</f>
        <v/>
      </c>
      <c r="D15" s="108" t="inlineStr">
        <is>
          <t>總負債 ÷ 總資產，越低越健康</t>
        </is>
      </c>
      <c r="E15" s="104" t="n"/>
      <c r="F15" s="105" t="n"/>
    </row>
    <row r="17" ht="21.75" customHeight="1" s="94">
      <c r="A17" s="101" t="inlineStr">
        <is>
          <t>💰 基金部位總覽</t>
        </is>
      </c>
      <c r="B17" s="96" t="n"/>
      <c r="C17" s="96" t="n"/>
      <c r="D17" s="96" t="n"/>
      <c r="E17" s="96" t="n"/>
      <c r="F17" s="97" t="n"/>
    </row>
    <row r="18" ht="15" customHeight="1" s="94">
      <c r="B18" s="102" t="inlineStr">
        <is>
          <t>項目</t>
        </is>
      </c>
      <c r="C18" s="102" t="inlineStr">
        <is>
          <t>數值</t>
        </is>
      </c>
      <c r="D18" s="103" t="inlineStr">
        <is>
          <t>說明</t>
        </is>
      </c>
      <c r="E18" s="104" t="n"/>
      <c r="F18" s="105" t="n"/>
    </row>
    <row r="19" ht="17.15" customHeight="1" s="94">
      <c r="B19" s="106" t="inlineStr">
        <is>
          <t>總投入成本(台幣)</t>
        </is>
      </c>
      <c r="C19" s="107">
        <f>基金配息紀錄!J8</f>
        <v/>
      </c>
    </row>
    <row r="20" ht="15" customHeight="1" s="94">
      <c r="B20" s="106" t="inlineStr">
        <is>
          <t>總持有單位數</t>
        </is>
      </c>
      <c r="C20" s="114">
        <f>基金配息紀錄!I8</f>
        <v/>
      </c>
    </row>
    <row r="21" ht="17.15" customHeight="1" s="94">
      <c r="B21" s="106" t="inlineStr">
        <is>
          <t>加權平均成本(NAV/USD)</t>
        </is>
      </c>
      <c r="C21" s="115">
        <f>基金配息紀錄!L8</f>
        <v/>
      </c>
    </row>
    <row r="22" ht="17.15" customHeight="1" s="94">
      <c r="B22" s="106" t="inlineStr">
        <is>
          <t>近12個月平均年化報酬率</t>
        </is>
      </c>
      <c r="C22" s="116">
        <f>基金配息紀錄!L49</f>
        <v/>
      </c>
      <c r="D22" s="108" t="inlineStr">
        <is>
          <t>以實際配息回推之年化率</t>
        </is>
      </c>
      <c r="E22" s="104" t="n"/>
      <c r="F22" s="105" t="n"/>
    </row>
    <row r="24" ht="21.75" customHeight="1" s="94">
      <c r="A24" s="101" t="inlineStr">
        <is>
          <t>⚠️ 財務警示</t>
        </is>
      </c>
      <c r="B24" s="96" t="n"/>
      <c r="C24" s="96" t="n"/>
      <c r="D24" s="96" t="n"/>
      <c r="E24" s="96" t="n"/>
      <c r="F24" s="97" t="n"/>
    </row>
    <row r="25" ht="15" customHeight="1" s="94">
      <c r="B25" s="117">
        <f>IF(C8&lt;0,"🔴 本月收支呈現赤字，請檢視支出","✅ 本月收支為正")</f>
        <v/>
      </c>
      <c r="C25" s="104" t="n"/>
      <c r="D25" s="104" t="n"/>
      <c r="E25" s="104" t="n"/>
      <c r="F25" s="105" t="n"/>
    </row>
    <row r="26" ht="15" customHeight="1" s="94">
      <c r="B26" s="106">
        <f>IF(C8&lt;20000,"⚠️ 淨結餘緩衝空間偏低（低於2萬）","✅ 淨結餘緩衝空間尚可")</f>
        <v/>
      </c>
      <c r="C26" s="104" t="n"/>
      <c r="D26" s="104" t="n"/>
      <c r="E26" s="104" t="n"/>
      <c r="F26" s="105" t="n"/>
    </row>
    <row r="27" ht="15" customHeight="1" s="94">
      <c r="B27" s="106">
        <f>IF(C14&lt;0,"🔴 淨值為負，資不抵債","✅ 淨值為正")</f>
        <v/>
      </c>
      <c r="C27" s="104" t="n"/>
      <c r="D27" s="104" t="n"/>
      <c r="E27" s="104" t="n"/>
      <c r="F27" s="105" t="n"/>
    </row>
    <row r="29" ht="21.75" customHeight="1" s="94">
      <c r="A29" s="101" t="inlineStr">
        <is>
          <t>📖 使用說明 / 色彩圖例</t>
        </is>
      </c>
      <c r="B29" s="96" t="n"/>
      <c r="C29" s="96" t="n"/>
      <c r="D29" s="96" t="n"/>
      <c r="E29" s="96" t="n"/>
      <c r="F29" s="97" t="n"/>
    </row>
    <row r="30" ht="15.75" customHeight="1" s="94">
      <c r="B30" s="118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94">
      <c r="B31" s="118" t="inlineStr">
        <is>
          <t>黃底＝關鍵假設或需要每月更新的欄位（如基金配息率、最新NAV、匯率）</t>
        </is>
      </c>
    </row>
    <row r="32" ht="15.75" customHeight="1" s="94">
      <c r="B32" s="118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94">
      <c r="B33" s="118" t="inlineStr">
        <is>
          <t>每月更新建議順序：① 基金配息紀錄 新增當月配息 ② 資產負債表 更新NAV/不動產估值/貸款餘額 ③ 回到本頁確認儀表板數字</t>
        </is>
      </c>
    </row>
  </sheetData>
  <mergeCells count="25">
    <mergeCell ref="D2:F2"/>
    <mergeCell ref="D13:F13"/>
    <mergeCell ref="D11:F11"/>
    <mergeCell ref="B25:F25"/>
    <mergeCell ref="B31:F31"/>
    <mergeCell ref="D7:F7"/>
    <mergeCell ref="B27:F27"/>
    <mergeCell ref="D12:F12"/>
    <mergeCell ref="D18:F18"/>
    <mergeCell ref="A17:F17"/>
    <mergeCell ref="A4:F4"/>
    <mergeCell ref="D8:F8"/>
    <mergeCell ref="D15:F15"/>
    <mergeCell ref="A29:F29"/>
    <mergeCell ref="A10:F10"/>
    <mergeCell ref="D14:F14"/>
    <mergeCell ref="D5:F5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002E75B6"/>
    <outlinePr summaryBelow="1" summaryRight="1"/>
    <pageSetUpPr fitToPage="0"/>
  </sheetPr>
  <dimension ref="A1:D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30" customWidth="1" style="93" min="2" max="2"/>
    <col width="14" customWidth="1" style="93" min="3" max="3"/>
    <col width="40" customWidth="1" style="93" min="4" max="4"/>
  </cols>
  <sheetData>
    <row r="1" ht="31.5" customHeight="1" s="94">
      <c r="A1" s="119" t="inlineStr">
        <is>
          <t>📋  月度收支明細表</t>
        </is>
      </c>
      <c r="B1" s="96" t="n"/>
      <c r="C1" s="96" t="n"/>
      <c r="D1" s="97" t="n"/>
    </row>
    <row r="3" ht="21.75" customHeight="1" s="94">
      <c r="A3" s="101" t="inlineStr">
        <is>
          <t>⚙️ 配息率假設（可調整）</t>
        </is>
      </c>
      <c r="B3" s="96" t="n"/>
      <c r="C3" s="96" t="n"/>
      <c r="D3" s="97" t="n"/>
    </row>
    <row r="4" ht="15" customHeight="1" s="94">
      <c r="A4" s="98" t="n"/>
      <c r="B4" s="120" t="inlineStr">
        <is>
          <t>預估年化配息率</t>
        </is>
      </c>
      <c r="C4" s="105" t="n"/>
      <c r="D4" s="121" t="n">
        <v>0.11</v>
      </c>
    </row>
    <row r="6" ht="21.75" customHeight="1" s="94">
      <c r="A6" s="101" t="inlineStr">
        <is>
          <t>💰 收入</t>
        </is>
      </c>
      <c r="B6" s="96" t="n"/>
      <c r="C6" s="96" t="n"/>
      <c r="D6" s="97" t="n"/>
    </row>
    <row r="7" ht="15" customHeight="1" s="94">
      <c r="A7" s="102" t="inlineStr">
        <is>
          <t>序</t>
        </is>
      </c>
      <c r="B7" s="102" t="inlineStr">
        <is>
          <t>項目</t>
        </is>
      </c>
      <c r="C7" s="102" t="inlineStr">
        <is>
          <t>金額</t>
        </is>
      </c>
      <c r="D7" s="103" t="inlineStr">
        <is>
          <t>備註</t>
        </is>
      </c>
    </row>
    <row r="8" ht="15" customHeight="1" s="94">
      <c r="A8" s="122" t="n">
        <v>1</v>
      </c>
      <c r="B8" s="106" t="inlineStr">
        <is>
          <t>月薪</t>
        </is>
      </c>
      <c r="C8" s="123" t="n">
        <v>66378</v>
      </c>
      <c r="D8" s="108" t="inlineStr">
        <is>
          <t>原始事實</t>
        </is>
      </c>
    </row>
    <row r="9" ht="15" customHeight="1" s="94">
      <c r="A9" s="122" t="n">
        <v>2</v>
      </c>
      <c r="B9" s="106" t="inlineStr">
        <is>
          <t>加班費</t>
        </is>
      </c>
      <c r="C9" s="123" t="n">
        <v>8000</v>
      </c>
      <c r="D9" s="108" t="inlineStr">
        <is>
          <t>原始事實</t>
        </is>
      </c>
    </row>
    <row r="10" ht="15" customHeight="1" s="94">
      <c r="A10" s="122" t="n">
        <v>3</v>
      </c>
      <c r="B10" s="106" t="inlineStr">
        <is>
          <t>危勞津貼</t>
        </is>
      </c>
      <c r="C10" s="123" t="n">
        <v>0</v>
      </c>
      <c r="D10" s="108" t="inlineStr">
        <is>
          <t>目前無，如有請填入</t>
        </is>
      </c>
    </row>
    <row r="11" ht="17.15" customHeight="1" s="94">
      <c r="A11" s="122" t="n">
        <v>4</v>
      </c>
      <c r="B11" s="106" t="inlineStr">
        <is>
          <t>基金配息(400萬部位,預估)</t>
        </is>
      </c>
      <c r="C11" s="107">
        <f>基金配息紀錄!F5*收支明細!$D$4/12</f>
        <v/>
      </c>
      <c r="D11" s="124" t="inlineStr">
        <is>
          <t>400萬部位投入金額×配息率÷12（估）</t>
        </is>
      </c>
    </row>
    <row r="12" ht="17.15" customHeight="1" s="94">
      <c r="A12" s="122" t="n">
        <v>5</v>
      </c>
      <c r="B12" s="106" t="inlineStr">
        <is>
          <t>基金配息(830萬部位,預估)</t>
        </is>
      </c>
      <c r="C12" s="107">
        <f>基金配息紀錄!F6*收支明細!$D$4/12</f>
        <v/>
      </c>
      <c r="D12" s="124" t="inlineStr">
        <is>
          <t>830萬部位投入金額×配息率÷12（估）</t>
        </is>
      </c>
    </row>
    <row r="13" ht="17.15" customHeight="1" s="94">
      <c r="A13" s="122" t="n">
        <v>6</v>
      </c>
      <c r="B13" s="106" t="inlineStr">
        <is>
          <t>基金配息(600萬部位,預估)</t>
        </is>
      </c>
      <c r="C13" s="107">
        <f>(基金配息紀錄!F7+基金配息紀錄!F8)*收支明細!$D$4/12</f>
        <v/>
      </c>
      <c r="D13" s="124" t="inlineStr">
        <is>
          <t>600萬部位投入金額×配息率÷12（估）</t>
        </is>
      </c>
    </row>
    <row r="14" ht="15" customHeight="1" s="94">
      <c r="A14" s="103" t="inlineStr">
        <is>
          <t>收入合計</t>
        </is>
      </c>
      <c r="B14" s="105" t="n"/>
      <c r="C14" s="110">
        <f>SUM(C8:C13)</f>
        <v/>
      </c>
      <c r="D14" s="125" t="n"/>
    </row>
    <row r="16" ht="21.75" customHeight="1" s="94">
      <c r="A16" s="101" t="inlineStr">
        <is>
          <t>💸 支出</t>
        </is>
      </c>
      <c r="B16" s="96" t="n"/>
      <c r="C16" s="96" t="n"/>
      <c r="D16" s="97" t="n"/>
    </row>
    <row r="17" ht="15" customHeight="1" s="94">
      <c r="A17" s="102" t="inlineStr">
        <is>
          <t>序</t>
        </is>
      </c>
      <c r="B17" s="102" t="inlineStr">
        <is>
          <t>項目</t>
        </is>
      </c>
      <c r="C17" s="102" t="inlineStr">
        <is>
          <t>金額</t>
        </is>
      </c>
      <c r="D17" s="103" t="inlineStr">
        <is>
          <t>備註</t>
        </is>
      </c>
    </row>
    <row r="18" ht="15" customHeight="1" s="94">
      <c r="A18" s="122" t="n">
        <v>1</v>
      </c>
      <c r="B18" s="126" t="inlineStr">
        <is>
          <t>【北區】原房貸</t>
        </is>
      </c>
      <c r="C18" s="127" t="n">
        <v>-32400</v>
      </c>
      <c r="D18" s="128" t="inlineStr">
        <is>
          <t>元大銀行803萬，30年期，利率2.66%</t>
        </is>
      </c>
    </row>
    <row r="19" ht="15" customHeight="1" s="94">
      <c r="A19" s="122" t="n">
        <v>2</v>
      </c>
      <c r="B19" s="126" t="inlineStr">
        <is>
          <t>【北區】理財型房貸本利攤還</t>
        </is>
      </c>
      <c r="C19" s="127" t="n">
        <v>-35040</v>
      </c>
      <c r="D19" s="128" t="inlineStr">
        <is>
          <t>元大銀行881萬(內含合庫房貸壽)，30年期，2.55%</t>
        </is>
      </c>
    </row>
    <row r="20" ht="15" customHeight="1" s="94">
      <c r="A20" s="122" t="n">
        <v>3</v>
      </c>
      <c r="B20" s="126" t="inlineStr">
        <is>
          <t>【北區】理財型房貸壽險</t>
        </is>
      </c>
      <c r="C20" s="127" t="n">
        <v>-2299</v>
      </c>
      <c r="D20" s="128" t="inlineStr">
        <is>
          <t>平準型，保額800萬(20年)，保費58萬</t>
        </is>
      </c>
    </row>
    <row r="21" ht="15" customHeight="1" s="94">
      <c r="A21" s="122" t="n">
        <v>4</v>
      </c>
      <c r="B21" s="129" t="inlineStr">
        <is>
          <t>【東區】理財型房貸本利攤還</t>
        </is>
      </c>
      <c r="C21" s="130" t="n">
        <v>-23804</v>
      </c>
      <c r="D21" s="131" t="inlineStr">
        <is>
          <t>598.5萬，30年期，2.55%</t>
        </is>
      </c>
    </row>
    <row r="22" ht="15" customHeight="1" s="94">
      <c r="A22" s="122" t="n">
        <v>5</v>
      </c>
      <c r="B22" s="129" t="inlineStr">
        <is>
          <t>【東區】理財型房貸壽險</t>
        </is>
      </c>
      <c r="C22" s="130" t="n">
        <v>-1651</v>
      </c>
      <c r="D22" s="132" t="inlineStr">
        <is>
          <t>平準型，保額1044萬(25年)；總保費82萬9249元，與弟弟共同分攤，本人負擔41萬4625元</t>
        </is>
      </c>
    </row>
    <row r="23" ht="15" customHeight="1" s="94">
      <c r="A23" s="122" t="n">
        <v>6</v>
      </c>
      <c r="B23" s="106" t="inlineStr">
        <is>
          <t>車貸</t>
        </is>
      </c>
      <c r="C23" s="109" t="n">
        <v>-20892</v>
      </c>
      <c r="D23" s="108" t="inlineStr">
        <is>
          <t>元大銀行140萬，6年期，利率2.35%</t>
        </is>
      </c>
    </row>
    <row r="24" ht="15" customHeight="1" s="94">
      <c r="A24" s="122" t="n">
        <v>7</v>
      </c>
      <c r="B24" s="106" t="inlineStr">
        <is>
          <t>信貸</t>
        </is>
      </c>
      <c r="C24" s="109" t="n">
        <v>-5718</v>
      </c>
      <c r="D24" s="108" t="inlineStr">
        <is>
          <t>將來銀行20萬，36期，利率1.88%</t>
        </is>
      </c>
    </row>
    <row r="25" ht="15" customHeight="1" s="94">
      <c r="A25" s="122" t="n">
        <v>8</v>
      </c>
      <c r="B25" s="106" t="inlineStr">
        <is>
          <t>個人醫療保險費</t>
        </is>
      </c>
      <c r="C25" s="109" t="n">
        <v>-3300</v>
      </c>
      <c r="D25" s="108" t="inlineStr">
        <is>
          <t>凱基人壽，年繳38,883，12月</t>
        </is>
      </c>
    </row>
    <row r="26" ht="15" customHeight="1" s="94">
      <c r="A26" s="122" t="n">
        <v>9</v>
      </c>
      <c r="B26" s="106" t="inlineStr">
        <is>
          <t>小孩醫療保險費</t>
        </is>
      </c>
      <c r="C26" s="109" t="n">
        <v>0</v>
      </c>
      <c r="D26" s="124" t="inlineStr">
        <is>
          <t>2孩年約5萬，攤提見「信用卡年支出」分頁</t>
        </is>
      </c>
    </row>
    <row r="27" ht="15" customHeight="1" s="94">
      <c r="A27" s="122" t="n">
        <v>10</v>
      </c>
      <c r="B27" s="106" t="inlineStr">
        <is>
          <t>生活費</t>
        </is>
      </c>
      <c r="C27" s="109" t="n">
        <v>-10000</v>
      </c>
      <c r="D27" s="108" t="inlineStr">
        <is>
          <t>中國信託</t>
        </is>
      </c>
    </row>
    <row r="28" ht="15" customHeight="1" s="94">
      <c r="A28" s="122" t="n">
        <v>11</v>
      </c>
      <c r="B28" s="106" t="inlineStr">
        <is>
          <t>管理費</t>
        </is>
      </c>
      <c r="C28" s="109" t="n">
        <v>-4100</v>
      </c>
      <c r="D28" s="108" t="inlineStr">
        <is>
          <t>一坪80元＋汽車位300＋機車位100</t>
        </is>
      </c>
    </row>
    <row r="29" ht="15" customHeight="1" s="94">
      <c r="A29" s="122" t="n">
        <v>12</v>
      </c>
      <c r="B29" s="106" t="inlineStr">
        <is>
          <t>孝親費</t>
        </is>
      </c>
      <c r="C29" s="109" t="n">
        <v>-10000</v>
      </c>
      <c r="D29" s="108" t="inlineStr">
        <is>
          <t>臺灣銀行</t>
        </is>
      </c>
    </row>
    <row r="30" ht="17.15" customHeight="1" s="94">
      <c r="A30" s="122" t="n">
        <v>13</v>
      </c>
      <c r="B30" s="106" t="inlineStr">
        <is>
          <t>投資(VOO/VT)</t>
        </is>
      </c>
      <c r="C30" s="109" t="n">
        <v>-15000</v>
      </c>
      <c r="D30" s="124" t="inlineStr">
        <is>
          <t>VOO 12,000＋VT 3,000</t>
        </is>
      </c>
    </row>
    <row r="31" ht="15" customHeight="1" s="94">
      <c r="A31" s="122" t="n">
        <v>14</v>
      </c>
      <c r="B31" s="106" t="inlineStr">
        <is>
          <t>信用卡費</t>
        </is>
      </c>
      <c r="C31" s="109">
        <f>信用卡年支出!G19</f>
        <v/>
      </c>
      <c r="D31" s="108" t="inlineStr">
        <is>
          <t>見「信用卡年支出」分頁自動加總</t>
        </is>
      </c>
    </row>
    <row r="32" ht="15" customHeight="1" s="94">
      <c r="A32" s="122" t="n">
        <v>15</v>
      </c>
      <c r="B32" s="106" t="inlineStr">
        <is>
          <t>潘寧課輔</t>
        </is>
      </c>
      <c r="C32" s="109" t="n">
        <v>-10000</v>
      </c>
      <c r="D32" s="108" t="n"/>
    </row>
    <row r="33" ht="15" customHeight="1" s="94">
      <c r="A33" s="122" t="n">
        <v>16</v>
      </c>
      <c r="B33" s="106" t="inlineStr">
        <is>
          <t>潘維課輔</t>
        </is>
      </c>
      <c r="C33" s="109" t="n">
        <v>-10000</v>
      </c>
      <c r="D33" s="108" t="n"/>
    </row>
    <row r="34" ht="15" customHeight="1" s="94">
      <c r="A34" s="103" t="inlineStr">
        <is>
          <t>支出合計</t>
        </is>
      </c>
      <c r="B34" s="105" t="n"/>
      <c r="C34" s="133">
        <f>SUM(C18:C33)</f>
        <v/>
      </c>
      <c r="D34" s="125" t="n"/>
    </row>
    <row r="36" ht="21.75" customHeight="1" s="94">
      <c r="A36" s="101" t="inlineStr">
        <is>
          <t>🧾 淨結餘</t>
        </is>
      </c>
      <c r="B36" s="96" t="n"/>
      <c r="C36" s="96" t="n"/>
      <c r="D36" s="97" t="n"/>
    </row>
    <row r="37" ht="15" customHeight="1" s="94">
      <c r="A37" s="103" t="inlineStr">
        <is>
          <t>月淨結餘</t>
        </is>
      </c>
      <c r="B37" s="105" t="n"/>
      <c r="C37" s="110">
        <f>C14+C34</f>
        <v/>
      </c>
      <c r="D37" s="125" t="n"/>
    </row>
  </sheetData>
  <mergeCells count="9">
    <mergeCell ref="A1:D1"/>
    <mergeCell ref="A6:D6"/>
    <mergeCell ref="A3:D3"/>
    <mergeCell ref="A37:B37"/>
    <mergeCell ref="A14:B14"/>
    <mergeCell ref="A16:D16"/>
    <mergeCell ref="B4:C4"/>
    <mergeCell ref="A36:D3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00C0504D"/>
    <outlinePr summaryBelow="1" summaryRight="1"/>
    <pageSetUpPr fitToPage="0"/>
  </sheetPr>
  <dimension ref="A1:M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22" customWidth="1" style="93" min="2" max="2"/>
    <col width="8" customWidth="1" style="93" min="3" max="3"/>
    <col width="12" customWidth="1" style="93" min="4" max="4"/>
    <col width="14" customWidth="1" style="93" min="5" max="5"/>
    <col width="9" customWidth="1" style="93" min="6" max="6"/>
    <col width="8" customWidth="1" style="93" min="7" max="7"/>
    <col width="13" customWidth="1" style="93" min="8" max="8"/>
    <col width="10" customWidth="1" style="93" min="9" max="9"/>
    <col width="13" customWidth="1" style="93" min="10" max="11"/>
    <col width="13" customWidth="1" style="94" min="11" max="11"/>
    <col width="14" customWidth="1" style="93" min="12" max="12"/>
    <col width="26" customWidth="1" style="93" min="13" max="13"/>
  </cols>
  <sheetData>
    <row r="1" ht="31.5" customHeight="1" s="94">
      <c r="A1" s="119" t="inlineStr">
        <is>
          <t>🏦  貸款總覽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6" t="n"/>
      <c r="M1" s="97" t="n"/>
    </row>
    <row r="3" ht="21.75" customHeight="1" s="94">
      <c r="A3" s="101" t="inlineStr">
        <is>
          <t>各項貸款明細（起始日期填寫後，已繳期數與理論剩餘本金自動試算）</t>
        </is>
      </c>
      <c r="B3" s="96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6" t="n"/>
      <c r="M3" s="97" t="n"/>
    </row>
    <row r="4" ht="27.75" customHeight="1" s="94">
      <c r="A4" s="134" t="inlineStr">
        <is>
          <t>序</t>
        </is>
      </c>
      <c r="B4" s="134" t="inlineStr">
        <is>
          <t>貸款名稱</t>
        </is>
      </c>
      <c r="C4" s="134" t="inlineStr">
        <is>
          <t>區域</t>
        </is>
      </c>
      <c r="D4" s="134" t="inlineStr">
        <is>
          <t>金融機構</t>
        </is>
      </c>
      <c r="E4" s="134" t="inlineStr">
        <is>
          <t>原始金額</t>
        </is>
      </c>
      <c r="F4" s="134" t="inlineStr">
        <is>
          <t>年利率</t>
        </is>
      </c>
      <c r="G4" s="134" t="inlineStr">
        <is>
          <t>期間(年)</t>
        </is>
      </c>
      <c r="H4" s="134" t="inlineStr">
        <is>
          <t>起始日期(選填,YYYY/M/1)</t>
        </is>
      </c>
      <c r="I4" s="134" t="inlineStr">
        <is>
          <t>已繳期數</t>
        </is>
      </c>
      <c r="J4" s="134" t="inlineStr">
        <is>
          <t>理論月繳(PMT)</t>
        </is>
      </c>
      <c r="K4" s="134" t="inlineStr">
        <is>
          <t>實際月繳</t>
        </is>
      </c>
      <c r="L4" s="134" t="inlineStr">
        <is>
          <t>理論剩餘本金</t>
        </is>
      </c>
      <c r="M4" s="134" t="inlineStr">
        <is>
          <t>備註</t>
        </is>
      </c>
    </row>
    <row r="5" ht="15" customHeight="1" s="94">
      <c r="A5" s="135" t="n">
        <v>1</v>
      </c>
      <c r="B5" s="126" t="inlineStr">
        <is>
          <t>北區原房貸</t>
        </is>
      </c>
      <c r="C5" s="136" t="inlineStr">
        <is>
          <t>北區</t>
        </is>
      </c>
      <c r="D5" s="137" t="inlineStr">
        <is>
          <t>元大銀行</t>
        </is>
      </c>
      <c r="E5" s="138" t="n">
        <v>8030000</v>
      </c>
      <c r="F5" s="139" t="n">
        <v>0.0266</v>
      </c>
      <c r="G5" s="137" t="n">
        <v>30</v>
      </c>
      <c r="H5" s="140" t="n">
        <v>46139</v>
      </c>
      <c r="I5" s="141">
        <f>IF(H5="","",DATEDIF(H5,TODAY(),"m"))</f>
        <v/>
      </c>
      <c r="J5" s="142">
        <f>-PMT(F5/12,G5*12,E5)</f>
        <v/>
      </c>
      <c r="K5" s="138" t="n">
        <v>-32400</v>
      </c>
      <c r="L5" s="142">
        <f>IF(H5="",E5,E5*((1+F5/12)^(G5*12)-(1+F5/12)^I5)/((1+F5/12)^(G5*12)-1))</f>
        <v/>
      </c>
      <c r="M5" s="143" t="inlineStr">
        <is>
          <t>803萬，30年期，利率2.66%</t>
        </is>
      </c>
    </row>
    <row r="6" ht="15" customHeight="1" s="94">
      <c r="A6" s="135" t="n">
        <v>2</v>
      </c>
      <c r="B6" s="126" t="inlineStr">
        <is>
          <t>北區理財型房貸</t>
        </is>
      </c>
      <c r="C6" s="136" t="inlineStr">
        <is>
          <t>北區</t>
        </is>
      </c>
      <c r="D6" s="137" t="inlineStr">
        <is>
          <t>元大銀行</t>
        </is>
      </c>
      <c r="E6" s="138" t="n">
        <v>8810000</v>
      </c>
      <c r="F6" s="139" t="n">
        <v>0.0255</v>
      </c>
      <c r="G6" s="137" t="n">
        <v>30</v>
      </c>
      <c r="H6" s="140" t="n">
        <v>46139</v>
      </c>
      <c r="I6" s="141">
        <f>IF(H6="","",DATEDIF(H6,TODAY(),"m"))</f>
        <v/>
      </c>
      <c r="J6" s="142">
        <f>-PMT(F6/12,G6*12,E6)</f>
        <v/>
      </c>
      <c r="K6" s="138" t="n">
        <v>-35040</v>
      </c>
      <c r="L6" s="142">
        <f>IF(H6="",E6,E6*((1+F6/12)^(G6*12)-(1+F6/12)^I6)/((1+F6/12)^(G6*12)-1))</f>
        <v/>
      </c>
      <c r="M6" s="143" t="inlineStr">
        <is>
          <t>881萬(內含合庫房貸壽)，30年期，2.55%</t>
        </is>
      </c>
    </row>
    <row r="7" ht="15" customHeight="1" s="94">
      <c r="A7" s="144" t="n">
        <v>3</v>
      </c>
      <c r="B7" s="129" t="inlineStr">
        <is>
          <t>東區房貸</t>
        </is>
      </c>
      <c r="C7" s="145" t="inlineStr">
        <is>
          <t>東區</t>
        </is>
      </c>
      <c r="D7" s="146" t="inlineStr">
        <is>
          <t>元大銀行</t>
        </is>
      </c>
      <c r="E7" s="147" t="n">
        <v>5985000</v>
      </c>
      <c r="F7" s="148" t="n">
        <v>0.0255</v>
      </c>
      <c r="G7" s="146" t="n">
        <v>30</v>
      </c>
      <c r="H7" s="140" t="n">
        <v>46261</v>
      </c>
      <c r="I7" s="149">
        <f>IF(H7="","",DATEDIF(H7,TODAY(),"m"))</f>
        <v/>
      </c>
      <c r="J7" s="150">
        <f>-PMT(F7/12,G7*12,E7)</f>
        <v/>
      </c>
      <c r="K7" s="147" t="n">
        <v>-23804</v>
      </c>
      <c r="L7" s="150">
        <f>IF(H7="",E7,E7*((1+F7/12)^(G7*12)-(1+F7/12)^I7)/((1+F7/12)^(G7*12)-1))</f>
        <v/>
      </c>
      <c r="M7" s="132" t="inlineStr">
        <is>
          <t>東京都涉谷區原屋融貸598.5萬</t>
        </is>
      </c>
    </row>
    <row r="8" ht="15" customHeight="1" s="94">
      <c r="A8" s="122" t="n">
        <v>4</v>
      </c>
      <c r="B8" s="106" t="inlineStr">
        <is>
          <t>車貸</t>
        </is>
      </c>
      <c r="C8" s="122" t="inlineStr">
        <is>
          <t>-</t>
        </is>
      </c>
      <c r="D8" s="151" t="inlineStr">
        <is>
          <t>元大銀行</t>
        </is>
      </c>
      <c r="E8" s="123" t="n">
        <v>1400000</v>
      </c>
      <c r="F8" s="152" t="n">
        <v>0.0235</v>
      </c>
      <c r="G8" s="151" t="n">
        <v>6</v>
      </c>
      <c r="H8" s="140" t="n">
        <v>46233</v>
      </c>
      <c r="I8" s="153">
        <f>IF(H8="","",DATEDIF(H8,TODAY(),"m"))</f>
        <v/>
      </c>
      <c r="J8" s="154">
        <f>-PMT(F8/12,G8*12,E8)</f>
        <v/>
      </c>
      <c r="K8" s="123" t="n">
        <v>-20892</v>
      </c>
      <c r="L8" s="154">
        <f>IF(H8="",E8,E8*((1+F8/12)^(G8*12)-(1+F8/12)^I8)/((1+F8/12)^(G8*12)-1))</f>
        <v/>
      </c>
      <c r="M8" s="124" t="inlineStr">
        <is>
          <t>140萬，6年期，利率2.35%</t>
        </is>
      </c>
    </row>
    <row r="9" ht="15" customHeight="1" s="94">
      <c r="A9" s="122" t="n">
        <v>5</v>
      </c>
      <c r="B9" s="106" t="inlineStr">
        <is>
          <t>信貸</t>
        </is>
      </c>
      <c r="C9" s="122" t="inlineStr">
        <is>
          <t>-</t>
        </is>
      </c>
      <c r="D9" s="151" t="inlineStr">
        <is>
          <t>將來銀行</t>
        </is>
      </c>
      <c r="E9" s="123" t="n">
        <v>200000</v>
      </c>
      <c r="F9" s="152" t="n">
        <v>0.0188</v>
      </c>
      <c r="G9" s="151" t="n">
        <v>3</v>
      </c>
      <c r="H9" s="140" t="n">
        <v>45880</v>
      </c>
      <c r="I9" s="153">
        <f>IF(H9="","",DATEDIF(H9,TODAY(),"m"))</f>
        <v/>
      </c>
      <c r="J9" s="154">
        <f>-PMT(F9/12,G9*12,E9)</f>
        <v/>
      </c>
      <c r="K9" s="123" t="n">
        <v>-5718</v>
      </c>
      <c r="L9" s="154">
        <f>IF(H9="",E9,E9*((1+F9/12)^(G9*12)-(1+F9/12)^I9)/((1+F9/12)^(G9*12)-1))</f>
        <v/>
      </c>
      <c r="M9" s="124" t="inlineStr">
        <is>
          <t>20萬，36期，利率1.88%，每月11號繳</t>
        </is>
      </c>
    </row>
    <row r="10" ht="15" customHeight="1" s="94">
      <c r="A10" s="103" t="inlineStr">
        <is>
          <t>合計</t>
        </is>
      </c>
      <c r="B10" s="104" t="n"/>
      <c r="C10" s="105" t="n"/>
      <c r="D10" s="125" t="n"/>
      <c r="E10" s="110">
        <f>SUM(E5:E9)</f>
        <v/>
      </c>
      <c r="F10" s="125" t="n"/>
      <c r="G10" s="125" t="n"/>
      <c r="H10" s="125" t="n"/>
      <c r="I10" s="125" t="n"/>
      <c r="J10" s="110">
        <f>SUM(J5:J9)</f>
        <v/>
      </c>
      <c r="K10" s="110">
        <f>SUM(K5:K9)</f>
        <v/>
      </c>
      <c r="L10" s="110">
        <f>SUM(L5:L9)</f>
        <v/>
      </c>
      <c r="M10" s="125" t="n"/>
    </row>
    <row r="12" ht="21.75" customHeight="1" s="94">
      <c r="A12" s="101" t="inlineStr">
        <is>
          <t>壽險保費（非貸款本金，隨貸款月繳一併攤提；剩餘保費採直線攤還法）</t>
        </is>
      </c>
      <c r="B12" s="96" t="n"/>
      <c r="C12" s="96" t="n"/>
      <c r="D12" s="96" t="n"/>
      <c r="E12" s="96" t="n"/>
      <c r="F12" s="96" t="n"/>
      <c r="G12" s="96" t="n"/>
      <c r="H12" s="96" t="n"/>
      <c r="I12" s="96" t="n"/>
      <c r="J12" s="96" t="n"/>
      <c r="K12" s="96" t="n"/>
      <c r="L12" s="96" t="n"/>
      <c r="M12" s="97" t="n"/>
    </row>
    <row r="13" ht="27.75" customHeight="1" s="94">
      <c r="A13" s="134" t="inlineStr">
        <is>
          <t>序</t>
        </is>
      </c>
      <c r="B13" s="134" t="inlineStr">
        <is>
          <t>保單名稱</t>
        </is>
      </c>
      <c r="C13" s="134" t="inlineStr">
        <is>
          <t>區域</t>
        </is>
      </c>
      <c r="D13" s="134" t="inlineStr">
        <is>
          <t>保額</t>
        </is>
      </c>
      <c r="E13" s="134" t="inlineStr">
        <is>
          <t>保費</t>
        </is>
      </c>
      <c r="F13" s="134" t="inlineStr">
        <is>
          <t>期間(年)</t>
        </is>
      </c>
      <c r="G13" s="134" t="n"/>
      <c r="H13" s="134" t="inlineStr">
        <is>
          <t>起始日期(比照同區域房貸)</t>
        </is>
      </c>
      <c r="I13" s="134" t="inlineStr">
        <is>
          <t>已繳期數</t>
        </is>
      </c>
      <c r="J13" s="134" t="n"/>
      <c r="K13" s="134" t="inlineStr">
        <is>
          <t>月攤提</t>
        </is>
      </c>
      <c r="L13" s="134" t="inlineStr">
        <is>
          <t>剩餘保費(直線法)</t>
        </is>
      </c>
      <c r="M13" s="134" t="inlineStr">
        <is>
          <t>備註</t>
        </is>
      </c>
    </row>
    <row r="14" ht="15" customHeight="1" s="94">
      <c r="A14" s="135" t="n">
        <v>1</v>
      </c>
      <c r="B14" s="126" t="inlineStr">
        <is>
          <t>北區房貸壽險</t>
        </is>
      </c>
      <c r="C14" s="136" t="inlineStr">
        <is>
          <t>北區</t>
        </is>
      </c>
      <c r="D14" s="138" t="n">
        <v>8000000</v>
      </c>
      <c r="E14" s="138" t="n">
        <v>580000</v>
      </c>
      <c r="F14" s="137" t="n">
        <v>20</v>
      </c>
      <c r="G14" s="135" t="n"/>
      <c r="H14" s="140" t="n">
        <v>46139</v>
      </c>
      <c r="I14" s="141">
        <f>IF(H14="","",DATEDIF(H14,TODAY(),"m"))</f>
        <v/>
      </c>
      <c r="J14" s="135" t="n"/>
      <c r="K14" s="138" t="n">
        <v>-2299</v>
      </c>
      <c r="L14" s="142">
        <f>IF(H14="",E14,E14*MAX(0,F14*12-I14)/(F14*12))</f>
        <v/>
      </c>
      <c r="M14" s="128" t="inlineStr">
        <is>
          <t>平準型，保障20年，保費58萬；起始日同北區理財型房貸</t>
        </is>
      </c>
    </row>
    <row r="15" ht="15" customHeight="1" s="94">
      <c r="A15" s="144" t="n">
        <v>2</v>
      </c>
      <c r="B15" s="129" t="inlineStr">
        <is>
          <t>東區房貸壽險</t>
        </is>
      </c>
      <c r="C15" s="145" t="inlineStr">
        <is>
          <t>東區</t>
        </is>
      </c>
      <c r="D15" s="147" t="n">
        <v>10440000</v>
      </c>
      <c r="E15" s="147" t="n">
        <v>414625</v>
      </c>
      <c r="F15" s="146" t="n">
        <v>25</v>
      </c>
      <c r="G15" s="144" t="n"/>
      <c r="H15" s="140" t="n">
        <v>46261</v>
      </c>
      <c r="I15" s="149">
        <f>IF(H15="","",DATEDIF(H15,TODAY(),"m"))</f>
        <v/>
      </c>
      <c r="J15" s="144" t="n"/>
      <c r="K15" s="147" t="n">
        <v>-1651</v>
      </c>
      <c r="L15" s="150">
        <f>IF(H15="",E15,E15*MAX(0,F15*12-I15)/(F15*12))</f>
        <v/>
      </c>
      <c r="M15" s="132" t="inlineStr">
        <is>
          <t>平準型，保障25年；總保費82萬9249元與弟弟共同分攤，本人負擔41萬4625元；起始日同東區房貸</t>
        </is>
      </c>
    </row>
    <row r="16" ht="15" customHeight="1" s="94">
      <c r="A16" s="103" t="inlineStr">
        <is>
          <t>壽險合計</t>
        </is>
      </c>
      <c r="B16" s="104" t="n"/>
      <c r="C16" s="105" t="n"/>
      <c r="D16" s="125" t="n"/>
      <c r="E16" s="110">
        <f>SUM(E14:E15)</f>
        <v/>
      </c>
      <c r="F16" s="125" t="n"/>
      <c r="G16" s="125" t="n"/>
      <c r="H16" s="125" t="n"/>
      <c r="I16" s="125" t="n"/>
      <c r="J16" s="125" t="n"/>
      <c r="K16" s="110">
        <f>SUM(K14:K15)</f>
        <v/>
      </c>
      <c r="L16" s="110">
        <f>SUM(L14:L15)</f>
        <v/>
      </c>
      <c r="M16" s="125" t="n"/>
    </row>
    <row r="18" ht="21.75" customHeight="1" s="94">
      <c r="A18" s="101" t="inlineStr">
        <is>
          <t>📌 貸款+壽險 月繳總額（與收支明細一致）</t>
        </is>
      </c>
      <c r="B18" s="96" t="n"/>
      <c r="C18" s="96" t="n"/>
      <c r="D18" s="96" t="n"/>
      <c r="E18" s="96" t="n"/>
      <c r="F18" s="96" t="n"/>
      <c r="G18" s="96" t="n"/>
      <c r="H18" s="96" t="n"/>
      <c r="I18" s="96" t="n"/>
      <c r="J18" s="96" t="n"/>
      <c r="K18" s="96" t="n"/>
      <c r="L18" s="96" t="n"/>
      <c r="M18" s="97" t="n"/>
    </row>
    <row r="19" ht="17.15" customHeight="1" s="94">
      <c r="A19" s="103" t="inlineStr">
        <is>
          <t>實際月繳總額(含壽險)</t>
        </is>
      </c>
      <c r="B19" s="104" t="n"/>
      <c r="C19" s="105" t="n"/>
      <c r="D19" s="125" t="n"/>
      <c r="E19" s="104" t="n"/>
      <c r="F19" s="104" t="n"/>
      <c r="G19" s="104" t="n"/>
      <c r="H19" s="104" t="n"/>
      <c r="I19" s="104" t="n"/>
      <c r="J19" s="105" t="n"/>
      <c r="K19" s="110">
        <f>K10+SUM(K14:K15)</f>
        <v/>
      </c>
      <c r="L19" s="125" t="n"/>
      <c r="M19" s="125" t="n"/>
    </row>
    <row r="21" ht="21.75" customHeight="1" s="94">
      <c r="A21" s="101" t="inlineStr">
        <is>
          <t>💡 使用說明</t>
        </is>
      </c>
      <c r="B21" s="96" t="n"/>
      <c r="C21" s="96" t="n"/>
      <c r="D21" s="96" t="n"/>
      <c r="E21" s="96" t="n"/>
      <c r="F21" s="96" t="n"/>
      <c r="G21" s="96" t="n"/>
      <c r="H21" s="96" t="n"/>
      <c r="I21" s="96" t="n"/>
      <c r="J21" s="96" t="n"/>
      <c r="K21" s="96" t="n"/>
      <c r="L21" s="96" t="n"/>
      <c r="M21" s="97" t="n"/>
    </row>
    <row r="22" ht="15.75" customHeight="1" s="94">
      <c r="B22" s="118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94">
      <c r="B23" s="118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94">
      <c r="B24" s="118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94">
      <c r="B25" s="118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0070AD47"/>
    <outlinePr summaryBelow="1" summaryRight="1"/>
    <pageSetUpPr fitToPage="0"/>
  </sheetPr>
  <dimension ref="A1:L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93" min="1" max="1"/>
    <col width="12" customWidth="1" style="93" min="2" max="2"/>
    <col width="28" customWidth="1" style="93" min="3" max="3"/>
    <col width="12" customWidth="1" style="93" min="4" max="4"/>
    <col width="10" customWidth="1" style="93" min="5" max="5"/>
    <col width="13" customWidth="1" style="93" min="6" max="6"/>
    <col width="12" customWidth="1" style="93" min="7" max="7"/>
    <col width="13" customWidth="1" style="93" min="8" max="8"/>
    <col width="12" customWidth="1" style="93" min="9" max="9"/>
    <col width="14" customWidth="1" style="93" min="10" max="11"/>
    <col width="14" customWidth="1" style="94" min="11" max="11"/>
    <col width="18" customWidth="1" style="93" min="12" max="12"/>
  </cols>
  <sheetData>
    <row r="1" ht="31.5" customHeight="1" s="94">
      <c r="A1" s="119" t="inlineStr">
        <is>
          <t>💰  摩根多重收益基金 ── 申購記錄與配息追蹤</t>
        </is>
      </c>
      <c r="B1" s="96" t="n"/>
      <c r="C1" s="96" t="n"/>
      <c r="D1" s="96" t="n"/>
      <c r="E1" s="96" t="n"/>
      <c r="F1" s="96" t="n"/>
      <c r="G1" s="96" t="n"/>
      <c r="H1" s="96" t="n"/>
      <c r="I1" s="96" t="n"/>
      <c r="J1" s="96" t="n"/>
      <c r="K1" s="96" t="n"/>
      <c r="L1" s="97" t="n"/>
    </row>
    <row r="3" ht="21.75" customHeight="1" s="94">
      <c r="A3" s="101" t="inlineStr">
        <is>
          <t>申購記錄（成本基礎自動累計）</t>
        </is>
      </c>
      <c r="B3" s="96" t="n"/>
      <c r="C3" s="96" t="n"/>
      <c r="D3" s="96" t="n"/>
      <c r="E3" s="96" t="n"/>
      <c r="F3" s="96" t="n"/>
      <c r="G3" s="96" t="n"/>
      <c r="H3" s="96" t="n"/>
      <c r="I3" s="96" t="n"/>
      <c r="J3" s="96" t="n"/>
      <c r="K3" s="96" t="n"/>
      <c r="L3" s="97" t="n"/>
    </row>
    <row r="4" ht="31.5" customHeight="1" s="94">
      <c r="A4" s="155" t="inlineStr">
        <is>
          <t>批次</t>
        </is>
      </c>
      <c r="B4" s="155" t="inlineStr">
        <is>
          <t>日期</t>
        </is>
      </c>
      <c r="C4" s="155" t="inlineStr">
        <is>
          <t>說明</t>
        </is>
      </c>
      <c r="D4" s="155" t="inlineStr">
        <is>
          <t>申購淨值
(NAV,USD)</t>
        </is>
      </c>
      <c r="E4" s="155" t="inlineStr">
        <is>
          <t>申購單位數</t>
        </is>
      </c>
      <c r="F4" s="155" t="inlineStr">
        <is>
          <t>投入金額
(TWD)</t>
        </is>
      </c>
      <c r="G4" s="155" t="inlineStr">
        <is>
          <t>投入金額
(USD,計算)</t>
        </is>
      </c>
      <c r="H4" s="155" t="inlineStr">
        <is>
          <t>隱含匯率
(核對用)</t>
        </is>
      </c>
      <c r="I4" s="155" t="inlineStr">
        <is>
          <t>累計單位數</t>
        </is>
      </c>
      <c r="J4" s="155" t="inlineStr">
        <is>
          <t>累計投入
(TWD)</t>
        </is>
      </c>
      <c r="K4" s="155" t="inlineStr">
        <is>
          <t>累計投入
(USD)</t>
        </is>
      </c>
      <c r="L4" s="155" t="inlineStr">
        <is>
          <t>加權平均成本
(NAV,USD)</t>
        </is>
      </c>
    </row>
    <row r="5" ht="27.75" customHeight="1" s="94">
      <c r="A5" s="151" t="n">
        <v>1</v>
      </c>
      <c r="B5" s="156" t="inlineStr">
        <is>
          <t>114/04</t>
        </is>
      </c>
      <c r="C5" s="157" t="inlineStr">
        <is>
          <t>400萬初始部位</t>
        </is>
      </c>
      <c r="D5" s="158" t="n">
        <v>71.447</v>
      </c>
      <c r="E5" s="159" t="n">
        <v>1723.533</v>
      </c>
      <c r="F5" s="123" t="n">
        <v>4000000</v>
      </c>
      <c r="G5" s="160">
        <f>D5*E5</f>
        <v/>
      </c>
      <c r="H5" s="161">
        <f>F5/G5</f>
        <v/>
      </c>
      <c r="I5" s="162">
        <f>E5</f>
        <v/>
      </c>
      <c r="J5" s="154">
        <f>F5</f>
        <v/>
      </c>
      <c r="K5" s="160">
        <f>G5</f>
        <v/>
      </c>
      <c r="L5" s="160">
        <f>K5/I5</f>
        <v/>
      </c>
    </row>
    <row r="6" ht="27.75" customHeight="1" s="94">
      <c r="A6" s="151" t="n">
        <v>2</v>
      </c>
      <c r="B6" s="156" t="inlineStr">
        <is>
          <t>115/04/30</t>
        </is>
      </c>
      <c r="C6" s="163" t="inlineStr">
        <is>
          <t>增貸830萬(皇普莊園轉增貸1684萬-原有854萬)</t>
        </is>
      </c>
      <c r="D6" s="158" t="n">
        <v>74.81</v>
      </c>
      <c r="E6" s="159" t="n">
        <v>3498.549</v>
      </c>
      <c r="F6" s="123" t="n">
        <v>8304663</v>
      </c>
      <c r="G6" s="160">
        <f>D6*E6</f>
        <v/>
      </c>
      <c r="H6" s="161">
        <f>F6/G6</f>
        <v/>
      </c>
      <c r="I6" s="162">
        <f>I5+E6</f>
        <v/>
      </c>
      <c r="J6" s="154">
        <f>J5+F6</f>
        <v/>
      </c>
      <c r="K6" s="160">
        <f>K5+G6</f>
        <v/>
      </c>
      <c r="L6" s="160">
        <f>K6/I6</f>
        <v/>
      </c>
    </row>
    <row r="7" ht="27.75" customHeight="1" s="94">
      <c r="A7" s="151" t="n">
        <v>3</v>
      </c>
      <c r="B7" s="156" t="inlineStr">
        <is>
          <t>115/08/25</t>
        </is>
      </c>
      <c r="C7" s="163" t="inlineStr">
        <is>
          <t>自補現金1.5萬(湊600萬)</t>
        </is>
      </c>
      <c r="D7" s="158" t="n">
        <v>74.63</v>
      </c>
      <c r="E7" s="159" t="n">
        <v>6.295</v>
      </c>
      <c r="F7" s="123" t="n">
        <v>15000</v>
      </c>
      <c r="G7" s="160">
        <f>D7*E7</f>
        <v/>
      </c>
      <c r="H7" s="161">
        <f>F7/G7</f>
        <v/>
      </c>
      <c r="I7" s="162">
        <f>I6+E7</f>
        <v/>
      </c>
      <c r="J7" s="154">
        <f>J6+F7</f>
        <v/>
      </c>
      <c r="K7" s="160">
        <f>K6+G7</f>
        <v/>
      </c>
      <c r="L7" s="160">
        <f>K7/I7</f>
        <v/>
      </c>
    </row>
    <row r="8" ht="27.75" customHeight="1" s="94">
      <c r="A8" s="151" t="n">
        <v>4</v>
      </c>
      <c r="B8" s="156" t="inlineStr">
        <is>
          <t>115/08/27</t>
        </is>
      </c>
      <c r="C8" s="163" t="inlineStr">
        <is>
          <t>東區房貸融資598.5萬(涉谷區原屋融貸)</t>
        </is>
      </c>
      <c r="D8" s="158" t="n">
        <v>74.91</v>
      </c>
      <c r="E8" s="159" t="n">
        <v>2519.381</v>
      </c>
      <c r="F8" s="123" t="n">
        <v>5985000</v>
      </c>
      <c r="G8" s="160">
        <f>D8*E8</f>
        <v/>
      </c>
      <c r="H8" s="161">
        <f>F8/G8</f>
        <v/>
      </c>
      <c r="I8" s="162">
        <f>I7+E8</f>
        <v/>
      </c>
      <c r="J8" s="154">
        <f>J7+F8</f>
        <v/>
      </c>
      <c r="K8" s="160">
        <f>K7+G8</f>
        <v/>
      </c>
      <c r="L8" s="160">
        <f>K8/I8</f>
        <v/>
      </c>
    </row>
    <row r="10" ht="21.75" customHeight="1" s="94">
      <c r="A10" s="101" t="inlineStr">
        <is>
          <t>目前部位小結</t>
        </is>
      </c>
      <c r="B10" s="96" t="n"/>
      <c r="C10" s="96" t="n"/>
      <c r="D10" s="96" t="n"/>
      <c r="E10" s="96" t="n"/>
      <c r="F10" s="96" t="n"/>
      <c r="G10" s="96" t="n"/>
      <c r="H10" s="96" t="n"/>
      <c r="I10" s="96" t="n"/>
      <c r="J10" s="96" t="n"/>
      <c r="K10" s="96" t="n"/>
      <c r="L10" s="97" t="n"/>
    </row>
    <row r="11" ht="17.15" customHeight="1" s="94">
      <c r="A11" s="103" t="inlineStr">
        <is>
          <t>總持有單位數</t>
        </is>
      </c>
      <c r="B11" s="104" t="n"/>
      <c r="C11" s="105" t="n"/>
      <c r="D11" s="164">
        <f>I8</f>
        <v/>
      </c>
      <c r="E11" s="103" t="inlineStr">
        <is>
          <t>總投入成本(TWD)</t>
        </is>
      </c>
      <c r="F11" s="105" t="n"/>
      <c r="G11" s="110">
        <f>J8</f>
        <v/>
      </c>
      <c r="H11" s="103" t="inlineStr">
        <is>
          <t>加權平均成本(NAV)</t>
        </is>
      </c>
      <c r="I11" s="105" t="n"/>
      <c r="J11" s="165">
        <f>L8</f>
        <v/>
      </c>
      <c r="K11" s="125" t="n"/>
      <c r="L11" s="125" t="n"/>
    </row>
    <row r="13" ht="21.75" customHeight="1" s="94">
      <c r="A13" s="101" t="inlineStr">
        <is>
          <t>月配息追蹤紀錄</t>
        </is>
      </c>
      <c r="B13" s="96" t="n"/>
      <c r="C13" s="96" t="n"/>
      <c r="D13" s="96" t="n"/>
      <c r="E13" s="96" t="n"/>
      <c r="F13" s="96" t="n"/>
      <c r="G13" s="96" t="n"/>
      <c r="H13" s="96" t="n"/>
      <c r="I13" s="96" t="n"/>
      <c r="J13" s="96" t="n"/>
      <c r="K13" s="96" t="n"/>
      <c r="L13" s="97" t="n"/>
    </row>
    <row r="14" ht="30" customHeight="1" s="94">
      <c r="A14" s="155" t="inlineStr">
        <is>
          <t>年度</t>
        </is>
      </c>
      <c r="B14" s="155" t="inlineStr">
        <is>
          <t>月份</t>
        </is>
      </c>
      <c r="C14" s="155" t="inlineStr">
        <is>
          <t>每單位配息
(USD)</t>
        </is>
      </c>
      <c r="D14" s="155" t="inlineStr">
        <is>
          <t>持有單位數</t>
        </is>
      </c>
      <c r="E14" s="155" t="inlineStr">
        <is>
          <t>配息(USD)
=C×D</t>
        </is>
      </c>
      <c r="F14" s="155" t="inlineStr">
        <is>
          <t>實收台幣</t>
        </is>
      </c>
      <c r="G14" s="155" t="inlineStr">
        <is>
          <t>隱含匯率
=F÷E</t>
        </is>
      </c>
      <c r="H14" s="155" t="inlineStr">
        <is>
          <t>當期累計
投入(TWD)</t>
        </is>
      </c>
      <c r="I14" s="155" t="inlineStr">
        <is>
          <t>當月年化
報酬率</t>
        </is>
      </c>
      <c r="J14" s="155" t="n"/>
      <c r="K14" s="155" t="n"/>
      <c r="L14" s="155" t="inlineStr">
        <is>
          <t>備註</t>
        </is>
      </c>
    </row>
    <row r="15" ht="17.15" customHeight="1" s="94">
      <c r="A15" s="156" t="inlineStr">
        <is>
          <t>114年</t>
        </is>
      </c>
      <c r="B15" s="156" t="inlineStr">
        <is>
          <t>5</t>
        </is>
      </c>
      <c r="C15" s="166" t="n">
        <v>0.666</v>
      </c>
      <c r="D15" s="159" t="n">
        <v>1723.533</v>
      </c>
      <c r="E15" s="160">
        <f>C15*D15</f>
        <v/>
      </c>
      <c r="F15" s="123" t="n">
        <v>34561</v>
      </c>
      <c r="G15" s="161">
        <f>F15/E15</f>
        <v/>
      </c>
      <c r="H15" s="154">
        <f>J$5</f>
        <v/>
      </c>
      <c r="I15" s="167">
        <f>F15*12/H15</f>
        <v/>
      </c>
      <c r="J15" s="98" t="n"/>
      <c r="L15" s="108" t="n"/>
    </row>
    <row r="16" ht="15" customHeight="1" s="94">
      <c r="A16" s="151" t="n"/>
      <c r="B16" s="156" t="inlineStr">
        <is>
          <t>6</t>
        </is>
      </c>
      <c r="C16" s="166" t="n">
        <v>0.677</v>
      </c>
      <c r="D16" s="159" t="n">
        <v>1723.533</v>
      </c>
      <c r="E16" s="160">
        <f>C16*D16</f>
        <v/>
      </c>
      <c r="F16" s="123" t="n">
        <v>34518</v>
      </c>
      <c r="G16" s="161">
        <f>F16/E16</f>
        <v/>
      </c>
      <c r="H16" s="154">
        <f>J$5</f>
        <v/>
      </c>
      <c r="I16" s="167">
        <f>F16*12/H16</f>
        <v/>
      </c>
      <c r="J16" s="98" t="n"/>
      <c r="L16" s="108" t="n"/>
    </row>
    <row r="17" ht="15" customHeight="1" s="94">
      <c r="A17" s="151" t="n"/>
      <c r="B17" s="156" t="inlineStr">
        <is>
          <t>7</t>
        </is>
      </c>
      <c r="C17" s="166" t="n">
        <v>0.6830000000000001</v>
      </c>
      <c r="D17" s="159" t="n">
        <v>1723.533</v>
      </c>
      <c r="E17" s="160">
        <f>C17*D17</f>
        <v/>
      </c>
      <c r="F17" s="123" t="n">
        <v>34453</v>
      </c>
      <c r="G17" s="161">
        <f>F17/E17</f>
        <v/>
      </c>
      <c r="H17" s="154">
        <f>J$5</f>
        <v/>
      </c>
      <c r="I17" s="167">
        <f>F17*12/H17</f>
        <v/>
      </c>
      <c r="J17" s="98" t="n"/>
      <c r="L17" s="108" t="n"/>
    </row>
    <row r="18" ht="15" customHeight="1" s="94">
      <c r="A18" s="151" t="n"/>
      <c r="B18" s="156" t="inlineStr">
        <is>
          <t>8</t>
        </is>
      </c>
      <c r="C18" s="166" t="n">
        <v>0.6850000000000001</v>
      </c>
      <c r="D18" s="159" t="n">
        <v>1723.533</v>
      </c>
      <c r="E18" s="160">
        <f>C18*D18</f>
        <v/>
      </c>
      <c r="F18" s="123" t="n">
        <v>35410</v>
      </c>
      <c r="G18" s="161">
        <f>F18/E18</f>
        <v/>
      </c>
      <c r="H18" s="154">
        <f>J$5</f>
        <v/>
      </c>
      <c r="I18" s="167">
        <f>F18*12/H18</f>
        <v/>
      </c>
      <c r="J18" s="98" t="n"/>
      <c r="L18" s="108" t="n"/>
    </row>
    <row r="19" ht="15" customHeight="1" s="94">
      <c r="A19" s="151" t="n"/>
      <c r="B19" s="156" t="inlineStr">
        <is>
          <t>9</t>
        </is>
      </c>
      <c r="C19" s="166" t="n">
        <v>0.6879999999999999</v>
      </c>
      <c r="D19" s="159" t="n">
        <v>1723.533</v>
      </c>
      <c r="E19" s="160">
        <f>C19*D19</f>
        <v/>
      </c>
      <c r="F19" s="123" t="n">
        <v>35642</v>
      </c>
      <c r="G19" s="161">
        <f>F19/E19</f>
        <v/>
      </c>
      <c r="H19" s="154">
        <f>J$5</f>
        <v/>
      </c>
      <c r="I19" s="167">
        <f>F19*12/H19</f>
        <v/>
      </c>
      <c r="J19" s="98" t="n"/>
      <c r="L19" s="108" t="n"/>
    </row>
    <row r="20" ht="15" customHeight="1" s="94">
      <c r="A20" s="151" t="n"/>
      <c r="B20" s="156" t="inlineStr">
        <is>
          <t>10</t>
        </is>
      </c>
      <c r="C20" s="166" t="n">
        <v>0.6909999999999999</v>
      </c>
      <c r="D20" s="159" t="n">
        <v>1723.533</v>
      </c>
      <c r="E20" s="160">
        <f>C20*D20</f>
        <v/>
      </c>
      <c r="F20" s="123" t="n">
        <v>36494</v>
      </c>
      <c r="G20" s="161">
        <f>F20/E20</f>
        <v/>
      </c>
      <c r="H20" s="154">
        <f>J$5</f>
        <v/>
      </c>
      <c r="I20" s="167">
        <f>F20*12/H20</f>
        <v/>
      </c>
      <c r="J20" s="98" t="n"/>
      <c r="L20" s="108" t="n"/>
    </row>
    <row r="21" ht="15" customHeight="1" s="94">
      <c r="A21" s="151" t="n"/>
      <c r="B21" s="156" t="inlineStr">
        <is>
          <t>11</t>
        </is>
      </c>
      <c r="C21" s="166" t="n">
        <v>0.6840000000000001</v>
      </c>
      <c r="D21" s="159" t="n">
        <v>1723.533</v>
      </c>
      <c r="E21" s="160">
        <f>C21*D21</f>
        <v/>
      </c>
      <c r="F21" s="123" t="n">
        <v>36749</v>
      </c>
      <c r="G21" s="161">
        <f>F21/E21</f>
        <v/>
      </c>
      <c r="H21" s="154">
        <f>J$5</f>
        <v/>
      </c>
      <c r="I21" s="167">
        <f>F21*12/H21</f>
        <v/>
      </c>
      <c r="J21" s="98" t="n"/>
      <c r="L21" s="108" t="n"/>
    </row>
    <row r="22" ht="15" customHeight="1" s="94">
      <c r="A22" s="151" t="n"/>
      <c r="B22" s="156" t="inlineStr">
        <is>
          <t>12</t>
        </is>
      </c>
      <c r="C22" s="166" t="n">
        <v>0.6870000000000001</v>
      </c>
      <c r="D22" s="159" t="n">
        <v>1723.533</v>
      </c>
      <c r="E22" s="160">
        <f>C22*D22</f>
        <v/>
      </c>
      <c r="F22" s="123" t="n">
        <v>37277</v>
      </c>
      <c r="G22" s="161">
        <f>F22/E22</f>
        <v/>
      </c>
      <c r="H22" s="154">
        <f>J$5</f>
        <v/>
      </c>
      <c r="I22" s="167">
        <f>F22*12/H22</f>
        <v/>
      </c>
      <c r="J22" s="98" t="n"/>
      <c r="L22" s="108" t="n"/>
    </row>
    <row r="23" ht="17.15" customHeight="1" s="94">
      <c r="A23" s="156" t="inlineStr">
        <is>
          <t>115年</t>
        </is>
      </c>
      <c r="B23" s="156" t="inlineStr">
        <is>
          <t>1</t>
        </is>
      </c>
      <c r="C23" s="166" t="n">
        <v>0.6909999999999999</v>
      </c>
      <c r="D23" s="159" t="n">
        <v>1723.533</v>
      </c>
      <c r="E23" s="160">
        <f>C23*D23</f>
        <v/>
      </c>
      <c r="F23" s="123" t="n">
        <v>37572</v>
      </c>
      <c r="G23" s="161">
        <f>F23/E23</f>
        <v/>
      </c>
      <c r="H23" s="154">
        <f>J$5</f>
        <v/>
      </c>
      <c r="I23" s="167">
        <f>F23*12/H23</f>
        <v/>
      </c>
      <c r="J23" s="98" t="n"/>
      <c r="L23" s="108" t="n"/>
    </row>
    <row r="24" ht="15" customHeight="1" s="94">
      <c r="A24" s="151" t="n"/>
      <c r="B24" s="156" t="inlineStr">
        <is>
          <t>2</t>
        </is>
      </c>
      <c r="C24" s="166" t="n">
        <v>0.6929999999999999</v>
      </c>
      <c r="D24" s="159" t="n">
        <v>1723.533</v>
      </c>
      <c r="E24" s="160">
        <f>C24*D24</f>
        <v/>
      </c>
      <c r="F24" s="123" t="n">
        <v>37513</v>
      </c>
      <c r="G24" s="161">
        <f>F24/E24</f>
        <v/>
      </c>
      <c r="H24" s="154">
        <f>J$5</f>
        <v/>
      </c>
      <c r="I24" s="167">
        <f>F24*12/H24</f>
        <v/>
      </c>
      <c r="J24" s="98" t="n"/>
      <c r="L24" s="108" t="n"/>
    </row>
    <row r="25" ht="15" customHeight="1" s="94">
      <c r="A25" s="151" t="n"/>
      <c r="B25" s="156" t="inlineStr">
        <is>
          <t>3</t>
        </is>
      </c>
      <c r="C25" s="166" t="n">
        <v>0.68</v>
      </c>
      <c r="D25" s="159" t="n">
        <v>1723.533</v>
      </c>
      <c r="E25" s="160">
        <f>C25*D25</f>
        <v/>
      </c>
      <c r="F25" s="123" t="n">
        <v>37407</v>
      </c>
      <c r="G25" s="161">
        <f>F25/E25</f>
        <v/>
      </c>
      <c r="H25" s="154">
        <f>J$5</f>
        <v/>
      </c>
      <c r="I25" s="167">
        <f>F25*12/H25</f>
        <v/>
      </c>
      <c r="J25" s="98" t="n"/>
      <c r="L25" s="108" t="n"/>
    </row>
    <row r="26" ht="15" customHeight="1" s="94">
      <c r="A26" s="151" t="n"/>
      <c r="B26" s="156" t="inlineStr">
        <is>
          <t>4</t>
        </is>
      </c>
      <c r="C26" s="166" t="n">
        <v>0.672</v>
      </c>
      <c r="D26" s="159" t="n">
        <v>1723.533</v>
      </c>
      <c r="E26" s="160">
        <f>C26*D26</f>
        <v/>
      </c>
      <c r="F26" s="123" t="n">
        <v>36602</v>
      </c>
      <c r="G26" s="161">
        <f>F26/E26</f>
        <v/>
      </c>
      <c r="H26" s="154">
        <f>J$5</f>
        <v/>
      </c>
      <c r="I26" s="167">
        <f>F26*12/H26</f>
        <v/>
      </c>
      <c r="J26" s="98" t="n"/>
      <c r="L26" s="108" t="n"/>
    </row>
    <row r="27" ht="17.15" customHeight="1" s="94">
      <c r="A27" s="156" t="inlineStr">
        <is>
          <t>115年</t>
        </is>
      </c>
      <c r="B27" s="156" t="inlineStr">
        <is>
          <t>5</t>
        </is>
      </c>
      <c r="C27" s="166" t="n">
        <v>0.696</v>
      </c>
      <c r="D27" s="159" t="n">
        <v>5222.082</v>
      </c>
      <c r="E27" s="160">
        <f>C27*D27</f>
        <v/>
      </c>
      <c r="F27" s="123" t="n">
        <v>114407</v>
      </c>
      <c r="G27" s="161">
        <f>F27/E27</f>
        <v/>
      </c>
      <c r="H27" s="154">
        <f>J$6</f>
        <v/>
      </c>
      <c r="I27" s="167">
        <f>F27*12/H27</f>
        <v/>
      </c>
      <c r="J27" s="98" t="n"/>
      <c r="L27" s="108" t="n"/>
    </row>
    <row r="28" ht="15" customHeight="1" s="94">
      <c r="A28" s="151" t="n"/>
      <c r="B28" s="156" t="inlineStr">
        <is>
          <t>6</t>
        </is>
      </c>
      <c r="C28" s="166" t="n">
        <v>0.6899999999999999</v>
      </c>
      <c r="D28" s="159" t="n">
        <v>5222.082</v>
      </c>
      <c r="E28" s="160">
        <f>C28*D28</f>
        <v/>
      </c>
      <c r="F28" s="123" t="n">
        <v>113601</v>
      </c>
      <c r="G28" s="161">
        <f>F28/E28</f>
        <v/>
      </c>
      <c r="H28" s="154">
        <f>J$6</f>
        <v/>
      </c>
      <c r="I28" s="167">
        <f>F28*12/H28</f>
        <v/>
      </c>
      <c r="J28" s="98" t="n"/>
      <c r="L28" s="108" t="n"/>
    </row>
    <row r="29" ht="15" customHeight="1" s="94">
      <c r="A29" s="151" t="n"/>
      <c r="B29" s="156" t="inlineStr">
        <is>
          <t>7</t>
        </is>
      </c>
      <c r="C29" s="166" t="n">
        <v>0.6929999999999999</v>
      </c>
      <c r="D29" s="159" t="n">
        <v>5222.082</v>
      </c>
      <c r="E29" s="160">
        <f>C29*D29</f>
        <v/>
      </c>
      <c r="F29" s="123" t="n">
        <v>116483</v>
      </c>
      <c r="G29" s="161">
        <f>F29/E29</f>
        <v/>
      </c>
      <c r="H29" s="154">
        <f>J$6</f>
        <v/>
      </c>
      <c r="I29" s="167">
        <f>F29*12/H29</f>
        <v/>
      </c>
      <c r="J29" s="98" t="n"/>
      <c r="L29" s="108" t="n"/>
    </row>
    <row r="30" ht="15" customHeight="1" s="94">
      <c r="A30" s="151" t="n"/>
      <c r="B30" s="156" t="inlineStr">
        <is>
          <t>8</t>
        </is>
      </c>
      <c r="C30" s="166" t="n">
        <v>0.6919999999999999</v>
      </c>
      <c r="D30" s="159" t="n">
        <v>5222.082</v>
      </c>
      <c r="E30" s="160">
        <f>C30*D30</f>
        <v/>
      </c>
      <c r="F30" s="123" t="n">
        <v>115448</v>
      </c>
      <c r="G30" s="161">
        <f>F30/E30</f>
        <v/>
      </c>
      <c r="H30" s="154">
        <f>J$6</f>
        <v/>
      </c>
      <c r="I30" s="167">
        <f>F30*12/H30</f>
        <v/>
      </c>
      <c r="J30" s="98" t="n"/>
      <c r="L30" s="108" t="n"/>
    </row>
    <row r="31" ht="15" customHeight="1" s="94">
      <c r="A31" s="168" t="n"/>
      <c r="B31" s="168" t="inlineStr">
        <is>
          <t>9</t>
        </is>
      </c>
      <c r="C31" s="169" t="n"/>
      <c r="D31" s="162">
        <f>I8</f>
        <v/>
      </c>
      <c r="E31" s="160">
        <f>IF(C31="","",C31*D31)</f>
        <v/>
      </c>
      <c r="F31" s="170" t="n"/>
      <c r="G31" s="161">
        <f>IF(OR(C31="",F31=""),"",F31/E31)</f>
        <v/>
      </c>
      <c r="H31" s="154">
        <f>J$8</f>
        <v/>
      </c>
      <c r="I31" s="167">
        <f>IF(OR(C31="",F31=""),"",F31*12/H31)</f>
        <v/>
      </c>
      <c r="J31" s="98" t="n"/>
      <c r="L31" s="171" t="inlineStr">
        <is>
          <t>← 待填入</t>
        </is>
      </c>
    </row>
    <row r="32" ht="15" customHeight="1" s="94">
      <c r="A32" s="168" t="n"/>
      <c r="B32" s="168" t="inlineStr">
        <is>
          <t>10</t>
        </is>
      </c>
      <c r="C32" s="169" t="n"/>
      <c r="D32" s="162">
        <f>I8</f>
        <v/>
      </c>
      <c r="E32" s="160">
        <f>IF(C32="","",C32*D32)</f>
        <v/>
      </c>
      <c r="F32" s="170" t="n"/>
      <c r="G32" s="161">
        <f>IF(OR(C32="",F32=""),"",F32/E32)</f>
        <v/>
      </c>
      <c r="H32" s="154">
        <f>J$8</f>
        <v/>
      </c>
      <c r="I32" s="167">
        <f>IF(OR(C32="",F32=""),"",F32*12/H32)</f>
        <v/>
      </c>
      <c r="J32" s="98" t="n"/>
      <c r="L32" s="171" t="inlineStr">
        <is>
          <t>← 待填入</t>
        </is>
      </c>
    </row>
    <row r="33" ht="15" customHeight="1" s="94">
      <c r="A33" s="168" t="n"/>
      <c r="B33" s="168" t="inlineStr">
        <is>
          <t>11</t>
        </is>
      </c>
      <c r="C33" s="169" t="n"/>
      <c r="D33" s="162">
        <f>I8</f>
        <v/>
      </c>
      <c r="E33" s="160">
        <f>IF(C33="","",C33*D33)</f>
        <v/>
      </c>
      <c r="F33" s="170" t="n"/>
      <c r="G33" s="161">
        <f>IF(OR(C33="",F33=""),"",F33/E33)</f>
        <v/>
      </c>
      <c r="H33" s="154">
        <f>J$8</f>
        <v/>
      </c>
      <c r="I33" s="167">
        <f>IF(OR(C33="",F33=""),"",F33*12/H33)</f>
        <v/>
      </c>
      <c r="J33" s="98" t="n"/>
      <c r="L33" s="171" t="inlineStr">
        <is>
          <t>← 待填入</t>
        </is>
      </c>
    </row>
    <row r="34" ht="15" customHeight="1" s="94">
      <c r="A34" s="168" t="n"/>
      <c r="B34" s="168" t="inlineStr">
        <is>
          <t>12</t>
        </is>
      </c>
      <c r="C34" s="169" t="n"/>
      <c r="D34" s="162">
        <f>I8</f>
        <v/>
      </c>
      <c r="E34" s="160">
        <f>IF(C34="","",C34*D34)</f>
        <v/>
      </c>
      <c r="F34" s="170" t="n"/>
      <c r="G34" s="161">
        <f>IF(OR(C34="",F34=""),"",F34/E34)</f>
        <v/>
      </c>
      <c r="H34" s="154">
        <f>J$8</f>
        <v/>
      </c>
      <c r="I34" s="167">
        <f>IF(OR(C34="",F34=""),"",F34*12/H34)</f>
        <v/>
      </c>
      <c r="J34" s="98" t="n"/>
      <c r="L34" s="171" t="inlineStr">
        <is>
          <t>← 待填入</t>
        </is>
      </c>
    </row>
    <row r="35" ht="17.15" customHeight="1" s="94">
      <c r="A35" s="168" t="inlineStr">
        <is>
          <t>116年</t>
        </is>
      </c>
      <c r="B35" s="168" t="inlineStr">
        <is>
          <t>1</t>
        </is>
      </c>
      <c r="C35" s="169" t="n"/>
      <c r="D35" s="162">
        <f>I8</f>
        <v/>
      </c>
      <c r="E35" s="160">
        <f>IF(C35="","",C35*D35)</f>
        <v/>
      </c>
      <c r="F35" s="170" t="n"/>
      <c r="G35" s="161">
        <f>IF(OR(C35="",F35=""),"",F35/E35)</f>
        <v/>
      </c>
      <c r="H35" s="154">
        <f>J$8</f>
        <v/>
      </c>
      <c r="I35" s="167">
        <f>IF(OR(C35="",F35=""),"",F35*12/H35)</f>
        <v/>
      </c>
      <c r="J35" s="98" t="n"/>
      <c r="L35" s="171" t="inlineStr">
        <is>
          <t>← 待填入</t>
        </is>
      </c>
    </row>
    <row r="36" ht="15" customHeight="1" s="94">
      <c r="A36" s="168" t="n"/>
      <c r="B36" s="168" t="inlineStr">
        <is>
          <t>2</t>
        </is>
      </c>
      <c r="C36" s="169" t="n"/>
      <c r="D36" s="162">
        <f>I8</f>
        <v/>
      </c>
      <c r="E36" s="160">
        <f>IF(C36="","",C36*D36)</f>
        <v/>
      </c>
      <c r="F36" s="170" t="n"/>
      <c r="G36" s="161">
        <f>IF(OR(C36="",F36=""),"",F36/E36)</f>
        <v/>
      </c>
      <c r="H36" s="154">
        <f>J$8</f>
        <v/>
      </c>
      <c r="I36" s="167">
        <f>IF(OR(C36="",F36=""),"",F36*12/H36)</f>
        <v/>
      </c>
      <c r="J36" s="98" t="n"/>
      <c r="L36" s="171" t="inlineStr">
        <is>
          <t>← 待填入</t>
        </is>
      </c>
    </row>
    <row r="37" ht="15" customHeight="1" s="94">
      <c r="A37" s="168" t="n"/>
      <c r="B37" s="168" t="inlineStr">
        <is>
          <t>3</t>
        </is>
      </c>
      <c r="C37" s="169" t="n"/>
      <c r="D37" s="162">
        <f>I8</f>
        <v/>
      </c>
      <c r="E37" s="160">
        <f>IF(C37="","",C37*D37)</f>
        <v/>
      </c>
      <c r="F37" s="170" t="n"/>
      <c r="G37" s="161">
        <f>IF(OR(C37="",F37=""),"",F37/E37)</f>
        <v/>
      </c>
      <c r="H37" s="154">
        <f>J$8</f>
        <v/>
      </c>
      <c r="I37" s="167">
        <f>IF(OR(C37="",F37=""),"",F37*12/H37)</f>
        <v/>
      </c>
      <c r="J37" s="98" t="n"/>
      <c r="L37" s="171" t="inlineStr">
        <is>
          <t>← 待填入</t>
        </is>
      </c>
    </row>
    <row r="38" ht="15" customHeight="1" s="94">
      <c r="A38" s="168" t="n"/>
      <c r="B38" s="168" t="inlineStr">
        <is>
          <t>4</t>
        </is>
      </c>
      <c r="C38" s="169" t="n"/>
      <c r="D38" s="162">
        <f>I8</f>
        <v/>
      </c>
      <c r="E38" s="160">
        <f>IF(C38="","",C38*D38)</f>
        <v/>
      </c>
      <c r="F38" s="170" t="n"/>
      <c r="G38" s="161">
        <f>IF(OR(C38="",F38=""),"",F38/E38)</f>
        <v/>
      </c>
      <c r="H38" s="154">
        <f>J$8</f>
        <v/>
      </c>
      <c r="I38" s="167">
        <f>IF(OR(C38="",F38=""),"",F38*12/H38)</f>
        <v/>
      </c>
      <c r="J38" s="98" t="n"/>
      <c r="L38" s="171" t="inlineStr">
        <is>
          <t>← 待填入</t>
        </is>
      </c>
    </row>
    <row r="39" ht="15" customHeight="1" s="94">
      <c r="A39" s="168" t="n"/>
      <c r="B39" s="168" t="inlineStr">
        <is>
          <t>5</t>
        </is>
      </c>
      <c r="C39" s="169" t="n"/>
      <c r="D39" s="162">
        <f>I8</f>
        <v/>
      </c>
      <c r="E39" s="160">
        <f>IF(C39="","",C39*D39)</f>
        <v/>
      </c>
      <c r="F39" s="170" t="n"/>
      <c r="G39" s="161">
        <f>IF(OR(C39="",F39=""),"",F39/E39)</f>
        <v/>
      </c>
      <c r="H39" s="154">
        <f>J$8</f>
        <v/>
      </c>
      <c r="I39" s="167">
        <f>IF(OR(C39="",F39=""),"",F39*12/H39)</f>
        <v/>
      </c>
      <c r="J39" s="98" t="n"/>
      <c r="L39" s="171" t="inlineStr">
        <is>
          <t>← 待填入</t>
        </is>
      </c>
    </row>
    <row r="40" ht="15" customHeight="1" s="94">
      <c r="A40" s="168" t="n"/>
      <c r="B40" s="168" t="inlineStr">
        <is>
          <t>6</t>
        </is>
      </c>
      <c r="C40" s="169" t="n"/>
      <c r="D40" s="162">
        <f>I8</f>
        <v/>
      </c>
      <c r="E40" s="160">
        <f>IF(C40="","",C40*D40)</f>
        <v/>
      </c>
      <c r="F40" s="170" t="n"/>
      <c r="G40" s="161">
        <f>IF(OR(C40="",F40=""),"",F40/E40)</f>
        <v/>
      </c>
      <c r="H40" s="154">
        <f>J$8</f>
        <v/>
      </c>
      <c r="I40" s="167">
        <f>IF(OR(C40="",F40=""),"",F40*12/H40)</f>
        <v/>
      </c>
      <c r="J40" s="98" t="n"/>
      <c r="L40" s="171" t="inlineStr">
        <is>
          <t>← 待填入</t>
        </is>
      </c>
    </row>
    <row r="41" ht="15" customHeight="1" s="94">
      <c r="A41" s="168" t="n"/>
      <c r="B41" s="168" t="inlineStr">
        <is>
          <t>7</t>
        </is>
      </c>
      <c r="C41" s="169" t="n"/>
      <c r="D41" s="162">
        <f>I8</f>
        <v/>
      </c>
      <c r="E41" s="160">
        <f>IF(C41="","",C41*D41)</f>
        <v/>
      </c>
      <c r="F41" s="170" t="n"/>
      <c r="G41" s="161">
        <f>IF(OR(C41="",F41=""),"",F41/E41)</f>
        <v/>
      </c>
      <c r="H41" s="154">
        <f>J$8</f>
        <v/>
      </c>
      <c r="I41" s="167">
        <f>IF(OR(C41="",F41=""),"",F41*12/H41)</f>
        <v/>
      </c>
      <c r="J41" s="98" t="n"/>
      <c r="L41" s="171" t="inlineStr">
        <is>
          <t>← 待填入</t>
        </is>
      </c>
    </row>
    <row r="42" ht="15" customHeight="1" s="94">
      <c r="A42" s="168" t="n"/>
      <c r="B42" s="168" t="inlineStr">
        <is>
          <t>8</t>
        </is>
      </c>
      <c r="C42" s="169" t="n"/>
      <c r="D42" s="162">
        <f>I8</f>
        <v/>
      </c>
      <c r="E42" s="160">
        <f>IF(C42="","",C42*D42)</f>
        <v/>
      </c>
      <c r="F42" s="170" t="n"/>
      <c r="G42" s="161">
        <f>IF(OR(C42="",F42=""),"",F42/E42)</f>
        <v/>
      </c>
      <c r="H42" s="154">
        <f>J$8</f>
        <v/>
      </c>
      <c r="I42" s="167">
        <f>IF(OR(C42="",F42=""),"",F42*12/H42)</f>
        <v/>
      </c>
      <c r="J42" s="98" t="n"/>
      <c r="L42" s="171" t="inlineStr">
        <is>
          <t>← 待填入</t>
        </is>
      </c>
    </row>
    <row r="43" ht="15" customHeight="1" s="94">
      <c r="A43" s="168" t="n"/>
      <c r="B43" s="168" t="inlineStr">
        <is>
          <t>9</t>
        </is>
      </c>
      <c r="C43" s="169" t="n"/>
      <c r="D43" s="162">
        <f>I8</f>
        <v/>
      </c>
      <c r="E43" s="160">
        <f>IF(C43="","",C43*D43)</f>
        <v/>
      </c>
      <c r="F43" s="170" t="n"/>
      <c r="G43" s="161">
        <f>IF(OR(C43="",F43=""),"",F43/E43)</f>
        <v/>
      </c>
      <c r="H43" s="154">
        <f>J$8</f>
        <v/>
      </c>
      <c r="I43" s="167">
        <f>IF(OR(C43="",F43=""),"",F43*12/H43)</f>
        <v/>
      </c>
      <c r="J43" s="98" t="n"/>
      <c r="L43" s="171" t="inlineStr">
        <is>
          <t>← 待填入</t>
        </is>
      </c>
    </row>
    <row r="44" ht="15" customHeight="1" s="94">
      <c r="A44" s="168" t="n"/>
      <c r="B44" s="168" t="inlineStr">
        <is>
          <t>10</t>
        </is>
      </c>
      <c r="C44" s="169" t="n"/>
      <c r="D44" s="162">
        <f>I8</f>
        <v/>
      </c>
      <c r="E44" s="160">
        <f>IF(C44="","",C44*D44)</f>
        <v/>
      </c>
      <c r="F44" s="170" t="n"/>
      <c r="G44" s="161">
        <f>IF(OR(C44="",F44=""),"",F44/E44)</f>
        <v/>
      </c>
      <c r="H44" s="154">
        <f>J$8</f>
        <v/>
      </c>
      <c r="I44" s="167">
        <f>IF(OR(C44="",F44=""),"",F44*12/H44)</f>
        <v/>
      </c>
      <c r="J44" s="98" t="n"/>
      <c r="L44" s="171" t="inlineStr">
        <is>
          <t>← 待填入</t>
        </is>
      </c>
    </row>
    <row r="45" ht="15" customHeight="1" s="94">
      <c r="A45" s="168" t="n"/>
      <c r="B45" s="168" t="inlineStr">
        <is>
          <t>11</t>
        </is>
      </c>
      <c r="C45" s="169" t="n"/>
      <c r="D45" s="162">
        <f>I8</f>
        <v/>
      </c>
      <c r="E45" s="160">
        <f>IF(C45="","",C45*D45)</f>
        <v/>
      </c>
      <c r="F45" s="170" t="n"/>
      <c r="G45" s="161">
        <f>IF(OR(C45="",F45=""),"",F45/E45)</f>
        <v/>
      </c>
      <c r="H45" s="154">
        <f>J$8</f>
        <v/>
      </c>
      <c r="I45" s="167">
        <f>IF(OR(C45="",F45=""),"",F45*12/H45)</f>
        <v/>
      </c>
      <c r="J45" s="98" t="n"/>
      <c r="L45" s="171" t="inlineStr">
        <is>
          <t>← 待填入</t>
        </is>
      </c>
    </row>
    <row r="46" ht="15" customHeight="1" s="94">
      <c r="A46" s="168" t="n"/>
      <c r="B46" s="168" t="inlineStr">
        <is>
          <t>12</t>
        </is>
      </c>
      <c r="C46" s="169" t="n"/>
      <c r="D46" s="162">
        <f>I8</f>
        <v/>
      </c>
      <c r="E46" s="160">
        <f>IF(C46="","",C46*D46)</f>
        <v/>
      </c>
      <c r="F46" s="170" t="n"/>
      <c r="G46" s="161">
        <f>IF(OR(C46="",F46=""),"",F46/E46)</f>
        <v/>
      </c>
      <c r="H46" s="154">
        <f>J$8</f>
        <v/>
      </c>
      <c r="I46" s="167">
        <f>IF(OR(C46="",F46=""),"",F46*12/H46)</f>
        <v/>
      </c>
      <c r="J46" s="98" t="n"/>
      <c r="L46" s="171" t="inlineStr">
        <is>
          <t>← 待填入</t>
        </is>
      </c>
    </row>
    <row r="48" ht="21.75" customHeight="1" s="94">
      <c r="A48" s="101" t="inlineStr">
        <is>
          <t>統計摘要</t>
        </is>
      </c>
      <c r="B48" s="96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7" t="n"/>
    </row>
    <row r="49" ht="17.15" customHeight="1" s="94">
      <c r="A49" s="103" t="inlineStr">
        <is>
          <t>累計實收配息(台幣,已發生月份)</t>
        </is>
      </c>
      <c r="B49" s="104" t="n"/>
      <c r="C49" s="105" t="n"/>
      <c r="D49" s="110">
        <f>SUM(F15:F30)</f>
        <v/>
      </c>
      <c r="E49" s="103" t="inlineStr">
        <is>
          <t>平均每單位配息(USD)</t>
        </is>
      </c>
      <c r="F49" s="104" t="n"/>
      <c r="G49" s="105" t="n"/>
      <c r="H49" s="172">
        <f>AVERAGE(C15:C30)</f>
        <v/>
      </c>
      <c r="I49" s="103" t="inlineStr">
        <is>
          <t>歷史平均年化報酬率</t>
        </is>
      </c>
      <c r="J49" s="104" t="n"/>
      <c r="K49" s="105" t="n"/>
      <c r="L49" s="173">
        <f>AVERAGE(I15:I30)</f>
        <v/>
      </c>
    </row>
    <row r="51" ht="21.75" customHeight="1" s="94">
      <c r="A51" s="101" t="inlineStr">
        <is>
          <t>💡 使用說明</t>
        </is>
      </c>
      <c r="B51" s="96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7" t="n"/>
    </row>
    <row r="52" ht="15.75" customHeight="1" s="94">
      <c r="B52" s="118" t="inlineStr">
        <is>
          <t>每月配息到帳後：於「未來待填」區塊（黃底列）填入當月每單位配息(USD)與實收台幣，其餘欄位自動計算。</t>
        </is>
      </c>
    </row>
    <row r="53" ht="15.75" customHeight="1" s="94">
      <c r="B53" s="118" t="inlineStr">
        <is>
          <t>「加權平均成本(NAV)」＝累計投入美金÷累計單位數，用於計算未實現損益（見資產負債表）。</t>
        </is>
      </c>
    </row>
    <row r="54" ht="15.75" customHeight="1" s="94">
      <c r="B54" s="118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J44:K44"/>
    <mergeCell ref="J29:K29"/>
    <mergeCell ref="B54:L54"/>
    <mergeCell ref="J38:K38"/>
    <mergeCell ref="J19:K19"/>
    <mergeCell ref="J37:K37"/>
    <mergeCell ref="J28:K28"/>
    <mergeCell ref="A3:L3"/>
    <mergeCell ref="J40:K40"/>
    <mergeCell ref="J30:K30"/>
    <mergeCell ref="J34:K34"/>
    <mergeCell ref="E49:G49"/>
    <mergeCell ref="B52:L52"/>
    <mergeCell ref="J24:K24"/>
    <mergeCell ref="J15:K15"/>
    <mergeCell ref="J27:K27"/>
    <mergeCell ref="J45:K45"/>
    <mergeCell ref="J36:K36"/>
    <mergeCell ref="J26:K26"/>
    <mergeCell ref="B53:L53"/>
    <mergeCell ref="H11:I11"/>
    <mergeCell ref="J35:K35"/>
    <mergeCell ref="A10:L10"/>
    <mergeCell ref="J20:K20"/>
    <mergeCell ref="J16:K16"/>
    <mergeCell ref="J32:K32"/>
    <mergeCell ref="E11:F11"/>
    <mergeCell ref="J25:K25"/>
    <mergeCell ref="A13:L13"/>
    <mergeCell ref="J41:K41"/>
    <mergeCell ref="J31:K31"/>
    <mergeCell ref="J22:K22"/>
    <mergeCell ref="A48:L48"/>
    <mergeCell ref="I49:K49"/>
    <mergeCell ref="J21:K21"/>
    <mergeCell ref="A11:C11"/>
    <mergeCell ref="J43:K43"/>
    <mergeCell ref="A49:C49"/>
    <mergeCell ref="J46:K46"/>
    <mergeCell ref="A51:L51"/>
    <mergeCell ref="A1:L1"/>
    <mergeCell ref="J42:K42"/>
    <mergeCell ref="J18:K18"/>
    <mergeCell ref="J33:K33"/>
    <mergeCell ref="J23:K23"/>
    <mergeCell ref="J17:K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00ED7D31"/>
    <outlinePr summaryBelow="1" summaryRight="1"/>
    <pageSetUpPr fitToPage="0"/>
  </sheetPr>
  <dimension ref="A1:I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3" min="1" max="1"/>
    <col width="10" customWidth="1" style="93" min="2" max="2"/>
    <col width="9" customWidth="1" style="93" min="3" max="3"/>
    <col width="10" customWidth="1" style="93" min="4" max="4"/>
    <col width="11" customWidth="1" style="93" min="5" max="5"/>
    <col width="9" customWidth="1" style="93" min="6" max="7"/>
    <col width="9" customWidth="1" style="94" min="7" max="7"/>
    <col width="10" customWidth="1" style="93" min="8" max="9"/>
    <col width="10" customWidth="1" style="94" min="9" max="9"/>
  </cols>
  <sheetData>
    <row r="1" ht="31.5" customHeight="1" s="94">
      <c r="A1" s="119" t="inlineStr">
        <is>
          <t>📈  股票投資紀錄（家妍投資）</t>
        </is>
      </c>
      <c r="B1" s="96" t="n"/>
      <c r="C1" s="96" t="n"/>
      <c r="D1" s="96" t="n"/>
      <c r="E1" s="96" t="n"/>
      <c r="F1" s="96" t="n"/>
      <c r="G1" s="96" t="n"/>
      <c r="H1" s="96" t="n"/>
      <c r="I1" s="97" t="n"/>
    </row>
    <row r="3" ht="21.75" customHeight="1" s="94">
      <c r="A3" s="101" t="inlineStr">
        <is>
          <t>買入記錄</t>
        </is>
      </c>
      <c r="B3" s="96" t="n"/>
      <c r="C3" s="96" t="n"/>
      <c r="D3" s="96" t="n"/>
      <c r="E3" s="96" t="n"/>
      <c r="F3" s="96" t="n"/>
      <c r="G3" s="96" t="n"/>
      <c r="H3" s="96" t="n"/>
      <c r="I3" s="97" t="n"/>
    </row>
    <row r="4" ht="15" customHeight="1" s="94">
      <c r="A4" s="174" t="inlineStr">
        <is>
          <t>序</t>
        </is>
      </c>
      <c r="B4" s="174" t="inlineStr">
        <is>
          <t>日期</t>
        </is>
      </c>
      <c r="C4" s="174" t="inlineStr">
        <is>
          <t>台幣收入</t>
        </is>
      </c>
      <c r="D4" s="174" t="inlineStr">
        <is>
          <t>美金轉匯</t>
        </is>
      </c>
      <c r="E4" s="174" t="inlineStr">
        <is>
          <t>實際支出</t>
        </is>
      </c>
      <c r="F4" s="174" t="inlineStr">
        <is>
          <t>標的</t>
        </is>
      </c>
      <c r="G4" s="174" t="inlineStr">
        <is>
          <t>股數</t>
        </is>
      </c>
      <c r="H4" s="174" t="inlineStr">
        <is>
          <t>價格</t>
        </is>
      </c>
      <c r="I4" s="174" t="inlineStr">
        <is>
          <t>證券商</t>
        </is>
      </c>
    </row>
    <row r="5" ht="15" customHeight="1" s="94">
      <c r="A5" s="151" t="n">
        <v>1</v>
      </c>
      <c r="B5" s="156" t="inlineStr">
        <is>
          <t>1141001</t>
        </is>
      </c>
      <c r="C5" s="123" t="n">
        <v>15000</v>
      </c>
      <c r="D5" s="158" t="n"/>
      <c r="E5" s="158" t="n">
        <v>15000</v>
      </c>
      <c r="F5" s="156" t="inlineStr">
        <is>
          <t>00989A</t>
        </is>
      </c>
      <c r="G5" s="175" t="n">
        <v>1000</v>
      </c>
      <c r="H5" s="176" t="n">
        <v>15</v>
      </c>
      <c r="I5" s="151" t="inlineStr">
        <is>
          <t>永豐金</t>
        </is>
      </c>
    </row>
    <row r="6" ht="15" customHeight="1" s="94">
      <c r="A6" s="151" t="n">
        <v>2</v>
      </c>
      <c r="B6" s="156" t="inlineStr">
        <is>
          <t>1141009</t>
        </is>
      </c>
      <c r="C6" s="123" t="n">
        <v>200500</v>
      </c>
      <c r="D6" s="158" t="n">
        <v>6551.22</v>
      </c>
      <c r="E6" s="158" t="n">
        <v>6335.59</v>
      </c>
      <c r="F6" s="156" t="inlineStr">
        <is>
          <t>OKLO</t>
        </is>
      </c>
      <c r="G6" s="175" t="n">
        <v>22</v>
      </c>
      <c r="H6" s="176" t="n">
        <v>139.2</v>
      </c>
      <c r="I6" s="151" t="inlineStr">
        <is>
          <t>永豐金</t>
        </is>
      </c>
    </row>
    <row r="7" ht="15" customHeight="1" s="94">
      <c r="A7" s="151" t="n">
        <v>3</v>
      </c>
      <c r="B7" s="151" t="n"/>
      <c r="C7" s="123" t="n"/>
      <c r="D7" s="158" t="n"/>
      <c r="E7" s="158" t="n"/>
      <c r="F7" s="156" t="inlineStr">
        <is>
          <t>NLR</t>
        </is>
      </c>
      <c r="G7" s="175" t="n">
        <v>22</v>
      </c>
      <c r="H7" s="176" t="n">
        <v>148.35</v>
      </c>
      <c r="I7" s="151" t="inlineStr">
        <is>
          <t>永豐金</t>
        </is>
      </c>
    </row>
    <row r="8" ht="15" customHeight="1" s="94">
      <c r="A8" s="151" t="n">
        <v>4</v>
      </c>
      <c r="B8" s="156" t="inlineStr">
        <is>
          <t>1141104</t>
        </is>
      </c>
      <c r="C8" s="123" t="n">
        <v>100000</v>
      </c>
      <c r="D8" s="158" t="n">
        <v>3229.35</v>
      </c>
      <c r="E8" s="158" t="n">
        <v>3337</v>
      </c>
      <c r="F8" s="156" t="inlineStr">
        <is>
          <t>OKLO</t>
        </is>
      </c>
      <c r="G8" s="175" t="n">
        <v>28</v>
      </c>
      <c r="H8" s="176" t="n">
        <v>119</v>
      </c>
      <c r="I8" s="151" t="inlineStr">
        <is>
          <t>永豐金</t>
        </is>
      </c>
    </row>
    <row r="9" ht="15" customHeight="1" s="94">
      <c r="A9" s="151" t="n">
        <v>5</v>
      </c>
      <c r="B9" s="156" t="inlineStr">
        <is>
          <t>1141114</t>
        </is>
      </c>
      <c r="C9" s="123" t="n">
        <v>50000</v>
      </c>
      <c r="D9" s="158" t="n">
        <v>1602</v>
      </c>
      <c r="E9" s="158" t="n">
        <v>1624.57</v>
      </c>
      <c r="F9" s="156" t="inlineStr">
        <is>
          <t>NLR</t>
        </is>
      </c>
      <c r="G9" s="175" t="n">
        <v>13</v>
      </c>
      <c r="H9" s="176" t="n">
        <v>124.78</v>
      </c>
      <c r="I9" s="151" t="inlineStr">
        <is>
          <t>永豐金</t>
        </is>
      </c>
    </row>
    <row r="10" ht="15" customHeight="1" s="94">
      <c r="A10" s="151" t="n">
        <v>6</v>
      </c>
      <c r="B10" s="156" t="inlineStr">
        <is>
          <t>1141118</t>
        </is>
      </c>
      <c r="C10" s="123" t="n">
        <v>50000</v>
      </c>
      <c r="D10" s="158" t="n">
        <v>1600.51</v>
      </c>
      <c r="E10" s="158" t="n">
        <v>1677.56</v>
      </c>
      <c r="F10" s="156" t="inlineStr">
        <is>
          <t>OKLO</t>
        </is>
      </c>
      <c r="G10" s="175" t="n">
        <v>17</v>
      </c>
      <c r="H10" s="176" t="n">
        <v>98.68000000000001</v>
      </c>
      <c r="I10" s="151" t="inlineStr">
        <is>
          <t>永豐金</t>
        </is>
      </c>
    </row>
    <row r="11" ht="15" customHeight="1" s="94">
      <c r="A11" s="151" t="n">
        <v>7</v>
      </c>
      <c r="B11" s="156" t="inlineStr">
        <is>
          <t>1150203</t>
        </is>
      </c>
      <c r="C11" s="123" t="n">
        <v>50000</v>
      </c>
      <c r="D11" s="158" t="n">
        <v>1580.78</v>
      </c>
      <c r="E11" s="158" t="n">
        <v>1650</v>
      </c>
      <c r="F11" s="156" t="inlineStr">
        <is>
          <t>OKLO</t>
        </is>
      </c>
      <c r="G11" s="175" t="n">
        <v>22</v>
      </c>
      <c r="H11" s="176" t="n">
        <v>75</v>
      </c>
      <c r="I11" s="151" t="inlineStr">
        <is>
          <t>永豐金</t>
        </is>
      </c>
    </row>
    <row r="12" ht="15" customHeight="1" s="94">
      <c r="A12" s="151" t="n">
        <v>8</v>
      </c>
      <c r="B12" s="156" t="inlineStr">
        <is>
          <t>1150519</t>
        </is>
      </c>
      <c r="C12" s="123" t="n">
        <v>5507</v>
      </c>
      <c r="D12" s="158" t="n"/>
      <c r="E12" s="158" t="n">
        <v>5507</v>
      </c>
      <c r="F12" s="156" t="inlineStr">
        <is>
          <t>00989A</t>
        </is>
      </c>
      <c r="G12" s="175" t="n">
        <v>100</v>
      </c>
      <c r="H12" s="176" t="n">
        <v>55</v>
      </c>
      <c r="I12" s="151" t="inlineStr">
        <is>
          <t>永豐金</t>
        </is>
      </c>
    </row>
    <row r="13" ht="15" customHeight="1" s="94">
      <c r="A13" s="151" t="n">
        <v>9</v>
      </c>
      <c r="B13" s="156" t="inlineStr">
        <is>
          <t>1150624</t>
        </is>
      </c>
      <c r="C13" s="123" t="n">
        <v>1800</v>
      </c>
      <c r="D13" s="158" t="n"/>
      <c r="E13" s="158" t="n">
        <v>1752</v>
      </c>
      <c r="F13" s="156" t="inlineStr">
        <is>
          <t>00989A</t>
        </is>
      </c>
      <c r="G13" s="175" t="n">
        <v>2</v>
      </c>
      <c r="H13" s="176" t="n">
        <v>875</v>
      </c>
      <c r="I13" s="151" t="inlineStr">
        <is>
          <t>永豐金</t>
        </is>
      </c>
    </row>
    <row r="14" ht="17.15" customHeight="1" s="94">
      <c r="A14" s="103" t="inlineStr">
        <is>
          <t>共投入金額(台幣)</t>
        </is>
      </c>
      <c r="B14" s="105" t="n"/>
      <c r="C14" s="110">
        <f>SUM(C5:C13)</f>
        <v/>
      </c>
      <c r="D14" s="125" t="n"/>
      <c r="E14" s="125" t="n"/>
      <c r="F14" s="125" t="n"/>
      <c r="G14" s="125" t="n"/>
      <c r="H14" s="125" t="n"/>
      <c r="I14" s="125" t="n"/>
    </row>
    <row r="16" ht="21.75" customHeight="1" s="94">
      <c r="A16" s="101" t="inlineStr">
        <is>
          <t>賣出記錄</t>
        </is>
      </c>
      <c r="B16" s="96" t="n"/>
      <c r="C16" s="96" t="n"/>
      <c r="D16" s="96" t="n"/>
      <c r="E16" s="96" t="n"/>
      <c r="F16" s="96" t="n"/>
      <c r="G16" s="96" t="n"/>
      <c r="H16" s="96" t="n"/>
      <c r="I16" s="97" t="n"/>
    </row>
    <row r="17" ht="15" customHeight="1" s="94">
      <c r="A17" s="174" t="inlineStr">
        <is>
          <t>序</t>
        </is>
      </c>
      <c r="B17" s="174" t="inlineStr">
        <is>
          <t>日期</t>
        </is>
      </c>
      <c r="C17" s="174" t="inlineStr">
        <is>
          <t>台幣轉匯</t>
        </is>
      </c>
      <c r="D17" s="174" t="inlineStr">
        <is>
          <t>美金轉匯</t>
        </is>
      </c>
      <c r="E17" s="174" t="inlineStr">
        <is>
          <t>實際收入</t>
        </is>
      </c>
      <c r="F17" s="174" t="inlineStr">
        <is>
          <t>標的</t>
        </is>
      </c>
      <c r="G17" s="174" t="inlineStr">
        <is>
          <t>股數</t>
        </is>
      </c>
      <c r="H17" s="174" t="inlineStr">
        <is>
          <t>價格</t>
        </is>
      </c>
      <c r="I17" s="174" t="inlineStr">
        <is>
          <t>證券商</t>
        </is>
      </c>
    </row>
    <row r="18" ht="15" customHeight="1" s="94">
      <c r="A18" s="151" t="n">
        <v>1</v>
      </c>
      <c r="B18" s="156" t="inlineStr">
        <is>
          <t>1150525</t>
        </is>
      </c>
      <c r="C18" s="123" t="n">
        <v>17697</v>
      </c>
      <c r="D18" s="158" t="n"/>
      <c r="E18" s="158" t="n">
        <v>17697</v>
      </c>
      <c r="F18" s="156" t="inlineStr">
        <is>
          <t>00989A</t>
        </is>
      </c>
      <c r="G18" s="175" t="n">
        <v>1000</v>
      </c>
      <c r="H18" s="176" t="n">
        <v>17.74</v>
      </c>
      <c r="I18" s="151" t="inlineStr">
        <is>
          <t>永豐金</t>
        </is>
      </c>
    </row>
    <row r="19" ht="15" customHeight="1" s="94">
      <c r="A19" s="151" t="n">
        <v>2</v>
      </c>
      <c r="B19" s="156" t="inlineStr">
        <is>
          <t>1150528</t>
        </is>
      </c>
      <c r="C19" s="123" t="n">
        <v>147196</v>
      </c>
      <c r="D19" s="158" t="n">
        <v>4682.84</v>
      </c>
      <c r="E19" s="158" t="n"/>
      <c r="F19" s="156" t="inlineStr">
        <is>
          <t>OKLO</t>
        </is>
      </c>
      <c r="G19" s="175" t="n">
        <v>67</v>
      </c>
      <c r="H19" s="176" t="n">
        <v>70</v>
      </c>
      <c r="I19" s="151" t="inlineStr">
        <is>
          <t>永豐金</t>
        </is>
      </c>
    </row>
    <row r="20" ht="15" customHeight="1" s="94">
      <c r="A20" s="151" t="n">
        <v>3</v>
      </c>
      <c r="B20" s="156" t="inlineStr">
        <is>
          <t>1150724</t>
        </is>
      </c>
      <c r="C20" s="123" t="n">
        <v>11600</v>
      </c>
      <c r="D20" s="158" t="n"/>
      <c r="E20" s="158" t="n">
        <v>11600</v>
      </c>
      <c r="F20" s="156" t="inlineStr">
        <is>
          <t>NLR</t>
        </is>
      </c>
      <c r="G20" s="175" t="n">
        <v>100</v>
      </c>
      <c r="H20" s="176" t="n">
        <v>116.5</v>
      </c>
      <c r="I20" s="151" t="inlineStr">
        <is>
          <t>永豐金</t>
        </is>
      </c>
    </row>
    <row r="21" ht="17.15" customHeight="1" s="94">
      <c r="A21" s="103" t="inlineStr">
        <is>
          <t>共收入金額(台幣)</t>
        </is>
      </c>
      <c r="B21" s="105" t="n"/>
      <c r="C21" s="110">
        <f>SUM(C18:C20)</f>
        <v/>
      </c>
      <c r="D21" s="125" t="n"/>
      <c r="E21" s="125" t="n"/>
      <c r="F21" s="125" t="n"/>
      <c r="G21" s="125" t="n"/>
      <c r="H21" s="125" t="n"/>
      <c r="I21" s="125" t="n"/>
    </row>
    <row r="23" ht="21.75" customHeight="1" s="94">
      <c r="A23" s="101" t="inlineStr">
        <is>
          <t>小結</t>
        </is>
      </c>
      <c r="B23" s="96" t="n"/>
      <c r="C23" s="96" t="n"/>
      <c r="D23" s="96" t="n"/>
      <c r="E23" s="96" t="n"/>
      <c r="F23" s="96" t="n"/>
      <c r="G23" s="96" t="n"/>
      <c r="H23" s="96" t="n"/>
      <c r="I23" s="97" t="n"/>
    </row>
    <row r="24" ht="15" customHeight="1" s="94">
      <c r="A24" s="103" t="inlineStr">
        <is>
          <t>市場上剩餘金額</t>
        </is>
      </c>
      <c r="B24" s="105" t="n"/>
      <c r="C24" s="110">
        <f>C14-C21</f>
        <v/>
      </c>
      <c r="D24" s="177" t="inlineStr">
        <is>
          <t>＝共投入金額－共收入金額（尚未實現部位的成本估算）</t>
        </is>
      </c>
      <c r="E24" s="104" t="n"/>
      <c r="F24" s="104" t="n"/>
      <c r="G24" s="104" t="n"/>
      <c r="H24" s="104" t="n"/>
      <c r="I24" s="105" t="n"/>
    </row>
    <row r="26" ht="21.75" customHeight="1" s="94">
      <c r="A26" s="101" t="inlineStr">
        <is>
          <t>💡 使用說明</t>
        </is>
      </c>
      <c r="B26" s="96" t="n"/>
      <c r="C26" s="96" t="n"/>
      <c r="D26" s="96" t="n"/>
      <c r="E26" s="96" t="n"/>
      <c r="F26" s="96" t="n"/>
      <c r="G26" s="96" t="n"/>
      <c r="H26" s="96" t="n"/>
      <c r="I26" s="97" t="n"/>
    </row>
    <row r="27" ht="27.75" customHeight="1" s="94">
      <c r="B27" s="118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D24:I24"/>
    <mergeCell ref="A21:B21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007030A0"/>
    <outlinePr summaryBelow="1" summaryRight="1"/>
    <pageSetUpPr fitToPage="0"/>
  </sheetPr>
  <dimension ref="A1:H4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93" min="1" max="1"/>
    <col width="18" customWidth="1" style="93" min="2" max="2"/>
    <col width="10" customWidth="1" style="93" min="3" max="7"/>
    <col width="10" customWidth="1" style="94" min="4" max="4"/>
    <col width="10" customWidth="1" style="94" min="5" max="5"/>
    <col width="10" customWidth="1" style="94" min="6" max="6"/>
    <col width="10" customWidth="1" style="94" min="7" max="7"/>
    <col width="24" customWidth="1" style="93" min="8" max="8"/>
  </cols>
  <sheetData>
    <row r="1" ht="31.5" customHeight="1" s="94">
      <c r="A1" s="119" t="inlineStr">
        <is>
          <t>💳  信用卡與年度固定支出</t>
        </is>
      </c>
      <c r="B1" s="96" t="n"/>
      <c r="C1" s="96" t="n"/>
      <c r="D1" s="96" t="n"/>
      <c r="E1" s="96" t="n"/>
      <c r="F1" s="96" t="n"/>
      <c r="G1" s="96" t="n"/>
      <c r="H1" s="97" t="n"/>
    </row>
    <row r="3" ht="21.75" customHeight="1" s="94">
      <c r="A3" s="101" t="inlineStr">
        <is>
          <t>信用卡明細（固定支出）</t>
        </is>
      </c>
      <c r="B3" s="96" t="n"/>
      <c r="C3" s="96" t="n"/>
      <c r="D3" s="96" t="n"/>
      <c r="E3" s="96" t="n"/>
      <c r="F3" s="96" t="n"/>
      <c r="G3" s="96" t="n"/>
      <c r="H3" s="97" t="n"/>
    </row>
    <row r="4" ht="15" customHeight="1" s="94">
      <c r="A4" s="174" t="inlineStr">
        <is>
          <t>序</t>
        </is>
      </c>
      <c r="B4" s="174" t="inlineStr">
        <is>
          <t>消費項目</t>
        </is>
      </c>
      <c r="C4" s="174" t="inlineStr">
        <is>
          <t>玉山</t>
        </is>
      </c>
      <c r="D4" s="174" t="inlineStr">
        <is>
          <t>聯邦</t>
        </is>
      </c>
      <c r="E4" s="174" t="inlineStr">
        <is>
          <t>中信</t>
        </is>
      </c>
      <c r="F4" s="174" t="inlineStr">
        <is>
          <t>國泰</t>
        </is>
      </c>
      <c r="G4" s="174" t="inlineStr">
        <is>
          <t>台新</t>
        </is>
      </c>
      <c r="H4" s="174" t="inlineStr">
        <is>
          <t>備註</t>
        </is>
      </c>
    </row>
    <row r="5" ht="15" customHeight="1" s="94">
      <c r="A5" s="151" t="n">
        <v>1</v>
      </c>
      <c r="B5" s="178" t="inlineStr">
        <is>
          <t>手機電信費</t>
        </is>
      </c>
      <c r="C5" s="123" t="n">
        <v>-499</v>
      </c>
      <c r="D5" s="123" t="n"/>
      <c r="E5" s="123" t="n"/>
      <c r="F5" s="123" t="n"/>
      <c r="G5" s="123" t="n"/>
      <c r="H5" s="108" t="n"/>
    </row>
    <row r="6" ht="17.15" customHeight="1" s="94">
      <c r="A6" s="151" t="n">
        <v>2</v>
      </c>
      <c r="B6" s="178" t="inlineStr">
        <is>
          <t>網路費(含家用電話)</t>
        </is>
      </c>
      <c r="C6" s="123" t="n">
        <v>-1099</v>
      </c>
      <c r="D6" s="123" t="n"/>
      <c r="E6" s="123" t="n"/>
      <c r="F6" s="123" t="n"/>
      <c r="G6" s="123" t="n"/>
      <c r="H6" s="108" t="n"/>
    </row>
    <row r="7" ht="15" customHeight="1" s="94">
      <c r="A7" s="151" t="n">
        <v>3</v>
      </c>
      <c r="B7" s="179" t="inlineStr">
        <is>
          <t>YouTube Premium</t>
        </is>
      </c>
      <c r="C7" s="123" t="n"/>
      <c r="D7" s="123" t="n">
        <v>-479</v>
      </c>
      <c r="E7" s="123" t="n"/>
      <c r="F7" s="123" t="n"/>
      <c r="G7" s="123" t="n"/>
      <c r="H7" s="108" t="n"/>
    </row>
    <row r="8" ht="15" customHeight="1" s="94">
      <c r="A8" s="151" t="n">
        <v>4</v>
      </c>
      <c r="B8" s="179" t="inlineStr">
        <is>
          <t>Google one</t>
        </is>
      </c>
      <c r="C8" s="123" t="n"/>
      <c r="D8" s="123" t="n"/>
      <c r="E8" s="123" t="n"/>
      <c r="F8" s="123" t="n"/>
      <c r="G8" s="123" t="n"/>
      <c r="H8" s="108" t="n"/>
    </row>
    <row r="9" ht="15" customHeight="1" s="94">
      <c r="A9" s="151" t="n">
        <v>5</v>
      </c>
      <c r="B9" s="179" t="inlineStr">
        <is>
          <t>Netflix</t>
        </is>
      </c>
      <c r="C9" s="123" t="n"/>
      <c r="D9" s="123" t="n">
        <v>-460</v>
      </c>
      <c r="E9" s="123" t="n"/>
      <c r="F9" s="123" t="n"/>
      <c r="G9" s="123" t="n"/>
      <c r="H9" s="108" t="n"/>
    </row>
    <row r="10" ht="15" customHeight="1" s="94">
      <c r="A10" s="151" t="n">
        <v>6</v>
      </c>
      <c r="B10" s="179" t="inlineStr">
        <is>
          <t>Apple music</t>
        </is>
      </c>
      <c r="C10" s="123" t="n"/>
      <c r="D10" s="123" t="n">
        <v>-165</v>
      </c>
      <c r="E10" s="123" t="n"/>
      <c r="F10" s="123" t="n"/>
      <c r="G10" s="123" t="n"/>
      <c r="H10" s="108" t="n"/>
    </row>
    <row r="11" ht="15" customHeight="1" s="94">
      <c r="A11" s="151" t="n">
        <v>7</v>
      </c>
      <c r="B11" s="178" t="inlineStr">
        <is>
          <t>富士山水</t>
        </is>
      </c>
      <c r="C11" s="123" t="n"/>
      <c r="D11" s="123" t="n"/>
      <c r="E11" s="123" t="n">
        <v>-2640</v>
      </c>
      <c r="F11" s="123" t="n"/>
      <c r="G11" s="123" t="n"/>
      <c r="H11" s="108" t="inlineStr">
        <is>
          <t>一個月4桶水</t>
        </is>
      </c>
    </row>
    <row r="12" ht="15" customHeight="1" s="94">
      <c r="A12" s="151" t="n">
        <v>8</v>
      </c>
      <c r="B12" s="178" t="inlineStr">
        <is>
          <t>酷澎</t>
        </is>
      </c>
      <c r="C12" s="123" t="n"/>
      <c r="D12" s="123" t="n"/>
      <c r="E12" s="123" t="n"/>
      <c r="F12" s="123" t="n">
        <v>-59</v>
      </c>
      <c r="G12" s="123" t="n"/>
      <c r="H12" s="108" t="n"/>
    </row>
    <row r="14" ht="21.75" customHeight="1" s="94">
      <c r="A14" s="101" t="inlineStr">
        <is>
          <t>信用卡明細（非固定支出）</t>
        </is>
      </c>
      <c r="B14" s="96" t="n"/>
      <c r="C14" s="96" t="n"/>
      <c r="D14" s="96" t="n"/>
      <c r="E14" s="96" t="n"/>
      <c r="F14" s="96" t="n"/>
      <c r="G14" s="96" t="n"/>
      <c r="H14" s="97" t="n"/>
    </row>
    <row r="15" ht="15" customHeight="1" s="94">
      <c r="A15" s="174" t="inlineStr">
        <is>
          <t>序</t>
        </is>
      </c>
      <c r="B15" s="174" t="inlineStr">
        <is>
          <t>消費項目</t>
        </is>
      </c>
      <c r="C15" s="174" t="inlineStr">
        <is>
          <t>玉山</t>
        </is>
      </c>
      <c r="D15" s="174" t="inlineStr">
        <is>
          <t>聯邦</t>
        </is>
      </c>
      <c r="E15" s="174" t="inlineStr">
        <is>
          <t>中信</t>
        </is>
      </c>
      <c r="F15" s="174" t="inlineStr">
        <is>
          <t>國泰</t>
        </is>
      </c>
      <c r="G15" s="174" t="inlineStr">
        <is>
          <t>台新</t>
        </is>
      </c>
      <c r="H15" s="174" t="inlineStr">
        <is>
          <t>備註</t>
        </is>
      </c>
    </row>
    <row r="16" ht="15" customHeight="1" s="94">
      <c r="A16" s="151" t="n">
        <v>1</v>
      </c>
      <c r="B16" s="178" t="inlineStr">
        <is>
          <t>猛健樂</t>
        </is>
      </c>
      <c r="C16" s="123" t="n"/>
      <c r="D16" s="123" t="n"/>
      <c r="E16" s="123" t="n"/>
      <c r="F16" s="123" t="n"/>
      <c r="G16" s="123" t="n">
        <v>-3250</v>
      </c>
      <c r="H16" s="124" t="inlineStr">
        <is>
          <t>12期，1150314起</t>
        </is>
      </c>
    </row>
    <row r="18" ht="15" customHeight="1" s="94">
      <c r="A18" s="103" t="inlineStr">
        <is>
          <t>各卡消費金額合計</t>
        </is>
      </c>
      <c r="B18" s="105" t="n"/>
      <c r="C18" s="110">
        <f>SUM(C5:C12)+SUM(C16:C16)</f>
        <v/>
      </c>
      <c r="D18" s="110">
        <f>SUM(D5:D12)+SUM(D16:D16)</f>
        <v/>
      </c>
      <c r="E18" s="110">
        <f>SUM(E5:E12)+SUM(E16:E16)</f>
        <v/>
      </c>
      <c r="F18" s="110">
        <f>SUM(F5:F12)+SUM(F16:F16)</f>
        <v/>
      </c>
      <c r="G18" s="110">
        <f>SUM(G5:G12)+SUM(G16:G16)</f>
        <v/>
      </c>
      <c r="H18" s="125" t="n"/>
    </row>
    <row r="19" ht="15" customHeight="1" s="94">
      <c r="A19" s="103" t="inlineStr">
        <is>
          <t>信用卡費總計</t>
        </is>
      </c>
      <c r="B19" s="105" t="n"/>
      <c r="C19" s="125" t="n"/>
      <c r="D19" s="104" t="n"/>
      <c r="E19" s="104" t="n"/>
      <c r="F19" s="105" t="n"/>
      <c r="G19" s="110">
        <f>SUM(C18:G18)</f>
        <v/>
      </c>
    </row>
    <row r="21" ht="21.75" customHeight="1" s="94">
      <c r="A21" s="101" t="inlineStr">
        <is>
          <t>每年龐大固定支出（非月繳，需分月預留）</t>
        </is>
      </c>
      <c r="B21" s="96" t="n"/>
      <c r="C21" s="96" t="n"/>
      <c r="D21" s="96" t="n"/>
      <c r="E21" s="96" t="n"/>
      <c r="F21" s="96" t="n"/>
      <c r="G21" s="96" t="n"/>
      <c r="H21" s="97" t="n"/>
    </row>
    <row r="22" ht="15" customHeight="1" s="94">
      <c r="A22" s="174" t="inlineStr">
        <is>
          <t>序</t>
        </is>
      </c>
      <c r="B22" s="174" t="inlineStr">
        <is>
          <t>支出項目</t>
        </is>
      </c>
      <c r="C22" s="174" t="inlineStr">
        <is>
          <t>金額</t>
        </is>
      </c>
      <c r="D22" s="174" t="inlineStr">
        <is>
          <t>繳費月份</t>
        </is>
      </c>
      <c r="E22" s="174" t="inlineStr">
        <is>
          <t>銀行/備註</t>
        </is>
      </c>
      <c r="F22" s="104" t="n"/>
      <c r="G22" s="104" t="n"/>
      <c r="H22" s="105" t="n"/>
    </row>
    <row r="23" ht="17.15" customHeight="1" s="94">
      <c r="A23" s="151" t="n">
        <v>1</v>
      </c>
      <c r="B23" s="178" t="inlineStr">
        <is>
          <t>潘寧保險</t>
        </is>
      </c>
      <c r="C23" s="123" t="n">
        <v>21096</v>
      </c>
      <c r="D23" s="156" t="inlineStr">
        <is>
          <t>7月</t>
        </is>
      </c>
      <c r="E23" s="108" t="inlineStr">
        <is>
          <t>玉山</t>
        </is>
      </c>
      <c r="F23" s="104" t="n"/>
      <c r="G23" s="104" t="n"/>
      <c r="H23" s="105" t="n"/>
    </row>
    <row r="24" ht="17.15" customHeight="1" s="94">
      <c r="A24" s="151" t="n">
        <v>2</v>
      </c>
      <c r="B24" s="178" t="inlineStr">
        <is>
          <t>潘維保險</t>
        </is>
      </c>
      <c r="C24" s="123" t="n">
        <v>24888</v>
      </c>
      <c r="D24" s="156" t="inlineStr">
        <is>
          <t>3月</t>
        </is>
      </c>
      <c r="E24" s="108" t="inlineStr">
        <is>
          <t>玉山</t>
        </is>
      </c>
      <c r="F24" s="104" t="n"/>
      <c r="G24" s="104" t="n"/>
      <c r="H24" s="105" t="n"/>
    </row>
    <row r="25" ht="17.15" customHeight="1" s="94">
      <c r="A25" s="151" t="n">
        <v>3</v>
      </c>
      <c r="B25" s="178" t="inlineStr">
        <is>
          <t>汽車保險</t>
        </is>
      </c>
      <c r="C25" s="123" t="n">
        <v>26735</v>
      </c>
      <c r="D25" s="156" t="inlineStr">
        <is>
          <t>7月</t>
        </is>
      </c>
      <c r="E25" s="108" t="inlineStr">
        <is>
          <t>聯邦</t>
        </is>
      </c>
      <c r="F25" s="104" t="n"/>
      <c r="G25" s="104" t="n"/>
      <c r="H25" s="105" t="n"/>
    </row>
    <row r="26" ht="17.15" customHeight="1" s="94">
      <c r="A26" s="151" t="n">
        <v>4</v>
      </c>
      <c r="B26" s="178" t="inlineStr">
        <is>
          <t>機車保險</t>
        </is>
      </c>
      <c r="C26" s="123" t="n">
        <v>3189</v>
      </c>
      <c r="D26" s="156" t="inlineStr">
        <is>
          <t>7月</t>
        </is>
      </c>
      <c r="E26" s="108" t="n"/>
      <c r="F26" s="104" t="n"/>
      <c r="G26" s="104" t="n"/>
      <c r="H26" s="105" t="n"/>
    </row>
    <row r="27" ht="17.15" customHeight="1" s="94">
      <c r="A27" s="151" t="n">
        <v>5</v>
      </c>
      <c r="B27" s="178" t="inlineStr">
        <is>
          <t>汽車牌照稅</t>
        </is>
      </c>
      <c r="C27" s="123" t="n">
        <v>11230</v>
      </c>
      <c r="D27" s="156" t="inlineStr">
        <is>
          <t>4月</t>
        </is>
      </c>
      <c r="E27" s="108" t="n"/>
      <c r="F27" s="104" t="n"/>
      <c r="G27" s="104" t="n"/>
      <c r="H27" s="105" t="n"/>
    </row>
    <row r="28" ht="17.15" customHeight="1" s="94">
      <c r="A28" s="151" t="n">
        <v>6</v>
      </c>
      <c r="B28" s="178" t="inlineStr">
        <is>
          <t>機車牌照稅</t>
        </is>
      </c>
      <c r="C28" s="123" t="n">
        <v>800</v>
      </c>
      <c r="D28" s="156" t="inlineStr">
        <is>
          <t>4月</t>
        </is>
      </c>
      <c r="E28" s="108" t="n"/>
      <c r="F28" s="104" t="n"/>
      <c r="G28" s="104" t="n"/>
      <c r="H28" s="105" t="n"/>
    </row>
    <row r="29" ht="17.15" customHeight="1" s="94">
      <c r="A29" s="151" t="n">
        <v>7</v>
      </c>
      <c r="B29" s="178" t="inlineStr">
        <is>
          <t>汽車燃料稅</t>
        </is>
      </c>
      <c r="C29" s="123" t="n">
        <v>6180</v>
      </c>
      <c r="D29" s="156" t="inlineStr">
        <is>
          <t>7月</t>
        </is>
      </c>
      <c r="E29" s="108" t="n"/>
      <c r="F29" s="104" t="n"/>
      <c r="G29" s="104" t="n"/>
      <c r="H29" s="105" t="n"/>
    </row>
    <row r="30" ht="17.15" customHeight="1" s="94">
      <c r="A30" s="151" t="n">
        <v>8</v>
      </c>
      <c r="B30" s="178" t="inlineStr">
        <is>
          <t>機車燃料稅</t>
        </is>
      </c>
      <c r="C30" s="123" t="n">
        <v>600</v>
      </c>
      <c r="D30" s="156" t="inlineStr">
        <is>
          <t>7月</t>
        </is>
      </c>
      <c r="E30" s="108" t="n"/>
      <c r="F30" s="104" t="n"/>
      <c r="G30" s="104" t="n"/>
      <c r="H30" s="105" t="n"/>
    </row>
    <row r="31" ht="17.15" customHeight="1" s="94">
      <c r="A31" s="151" t="n">
        <v>9</v>
      </c>
      <c r="B31" s="178" t="inlineStr">
        <is>
          <t>房屋稅</t>
        </is>
      </c>
      <c r="C31" s="123" t="n"/>
      <c r="D31" s="156" t="inlineStr">
        <is>
          <t>5月</t>
        </is>
      </c>
      <c r="E31" s="108" t="n"/>
      <c r="F31" s="104" t="n"/>
      <c r="G31" s="104" t="n"/>
      <c r="H31" s="105" t="n"/>
    </row>
    <row r="32" ht="17.15" customHeight="1" s="94">
      <c r="A32" s="151" t="n">
        <v>10</v>
      </c>
      <c r="B32" s="178" t="inlineStr">
        <is>
          <t>地價稅</t>
        </is>
      </c>
      <c r="C32" s="123" t="n"/>
      <c r="D32" s="156" t="inlineStr">
        <is>
          <t>7月</t>
        </is>
      </c>
      <c r="E32" s="108" t="n"/>
      <c r="F32" s="104" t="n"/>
      <c r="G32" s="104" t="n"/>
      <c r="H32" s="105" t="n"/>
    </row>
    <row r="33" ht="17.15" customHeight="1" s="94">
      <c r="A33" s="151" t="n">
        <v>11</v>
      </c>
      <c r="B33" s="178" t="inlineStr">
        <is>
          <t>火災地震險</t>
        </is>
      </c>
      <c r="C33" s="123" t="n">
        <v>2652</v>
      </c>
      <c r="D33" s="156" t="inlineStr">
        <is>
          <t>3月</t>
        </is>
      </c>
      <c r="E33" s="108" t="n"/>
      <c r="F33" s="104" t="n"/>
      <c r="G33" s="104" t="n"/>
      <c r="H33" s="105" t="n"/>
    </row>
    <row r="34" ht="15" customHeight="1" s="94">
      <c r="A34" s="151" t="n">
        <v>12</v>
      </c>
      <c r="B34" s="178" t="inlineStr">
        <is>
          <t>潘寧國小註冊費</t>
        </is>
      </c>
      <c r="C34" s="123" t="n"/>
      <c r="D34" s="151" t="n"/>
      <c r="E34" s="108" t="inlineStr">
        <is>
          <t>待填</t>
        </is>
      </c>
      <c r="F34" s="104" t="n"/>
      <c r="G34" s="104" t="n"/>
      <c r="H34" s="105" t="n"/>
    </row>
    <row r="35" ht="17.15" customHeight="1" s="94">
      <c r="A35" s="151" t="n">
        <v>13</v>
      </c>
      <c r="B35" s="178" t="inlineStr">
        <is>
          <t>潘維幼稚園註冊費</t>
        </is>
      </c>
      <c r="C35" s="123" t="n">
        <v>17100</v>
      </c>
      <c r="D35" s="156" t="inlineStr">
        <is>
          <t>6月</t>
        </is>
      </c>
      <c r="E35" s="108" t="n"/>
      <c r="F35" s="104" t="n"/>
      <c r="G35" s="104" t="n"/>
      <c r="H35" s="105" t="n"/>
    </row>
    <row r="36" ht="15" customHeight="1" s="94">
      <c r="A36" s="103" t="inlineStr">
        <is>
          <t>年度固定支出合計</t>
        </is>
      </c>
      <c r="B36" s="105" t="n"/>
      <c r="C36" s="110">
        <f>SUM(C23:C35)</f>
        <v/>
      </c>
      <c r="D36" s="102" t="inlineStr">
        <is>
          <t>月均攤提</t>
        </is>
      </c>
      <c r="E36" s="180">
        <f>C36/12</f>
        <v/>
      </c>
      <c r="F36" s="104" t="n"/>
      <c r="G36" s="104" t="n"/>
      <c r="H36" s="105" t="n"/>
    </row>
    <row r="37" ht="14.15" customHeight="1" s="94">
      <c r="A37" s="99" t="inlineStr">
        <is>
          <t>備註：建議年終獎金先提撥12萬存入專戶，因應每年這筆龐大固定支出</t>
        </is>
      </c>
    </row>
    <row r="39" ht="21.75" customHeight="1" s="94">
      <c r="A39" s="101" t="inlineStr">
        <is>
          <t>💡 使用說明</t>
        </is>
      </c>
      <c r="B39" s="96" t="n"/>
      <c r="C39" s="96" t="n"/>
      <c r="D39" s="96" t="n"/>
      <c r="E39" s="96" t="n"/>
      <c r="F39" s="96" t="n"/>
      <c r="G39" s="96" t="n"/>
      <c r="H39" s="97" t="n"/>
    </row>
    <row r="40" ht="27.75" customHeight="1" s="94">
      <c r="B40" s="118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A18:B18"/>
    <mergeCell ref="E33:H33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A19:B19"/>
    <mergeCell ref="E34:H34"/>
    <mergeCell ref="E30:H30"/>
    <mergeCell ref="E27:H27"/>
    <mergeCell ref="E36:H3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001F3864"/>
    <outlinePr summaryBelow="1" summaryRight="1"/>
    <pageSetUpPr fitToPage="0"/>
  </sheetPr>
  <dimension ref="A1:D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93" min="1" max="1"/>
    <col width="26" customWidth="1" style="93" min="2" max="2"/>
    <col width="16" customWidth="1" style="93" min="3" max="3"/>
    <col width="34" customWidth="1" style="93" min="4" max="4"/>
  </cols>
  <sheetData>
    <row r="1" ht="31.5" customHeight="1" s="94">
      <c r="A1" s="119" t="inlineStr">
        <is>
          <t>⚖️  資產負債表</t>
        </is>
      </c>
      <c r="B1" s="96" t="n"/>
      <c r="C1" s="96" t="n"/>
      <c r="D1" s="97" t="n"/>
    </row>
    <row r="3" ht="21.75" customHeight="1" s="94">
      <c r="A3" s="101" t="inlineStr">
        <is>
          <t>⚙️ 市值假設（請每次更新時填寫）</t>
        </is>
      </c>
      <c r="B3" s="96" t="n"/>
      <c r="C3" s="96" t="n"/>
      <c r="D3" s="97" t="n"/>
    </row>
    <row r="4" ht="17.15" customHeight="1" s="94">
      <c r="A4" s="98" t="n"/>
      <c r="B4" s="120" t="inlineStr">
        <is>
          <t>基金最新淨值(NAV,USD)</t>
        </is>
      </c>
      <c r="C4" s="181" t="n">
        <v>74.91</v>
      </c>
      <c r="D4" s="182" t="inlineStr">
        <is>
          <t>請查詢基富通/鉅亨網最新淨值</t>
        </is>
      </c>
    </row>
    <row r="5" ht="17.15" customHeight="1" s="94">
      <c r="A5" s="98" t="n"/>
      <c r="B5" s="120" t="inlineStr">
        <is>
          <t>目前匯率(USD/TWD)</t>
        </is>
      </c>
      <c r="C5" s="183" t="n">
        <v>31.5</v>
      </c>
      <c r="D5" s="182" t="inlineStr">
        <is>
          <t>請查詢即期匯率</t>
        </is>
      </c>
    </row>
    <row r="7" ht="21.75" customHeight="1" s="94">
      <c r="A7" s="101" t="inlineStr">
        <is>
          <t>🏦 資產（計入個人淨值）</t>
        </is>
      </c>
      <c r="B7" s="96" t="n"/>
      <c r="C7" s="96" t="n"/>
      <c r="D7" s="97" t="n"/>
    </row>
    <row r="8" ht="15" customHeight="1" s="94">
      <c r="A8" s="125" t="n"/>
      <c r="B8" s="103" t="inlineStr">
        <is>
          <t>項目</t>
        </is>
      </c>
      <c r="C8" s="102" t="inlineStr">
        <is>
          <t>金額</t>
        </is>
      </c>
      <c r="D8" s="103" t="inlineStr">
        <is>
          <t>說明</t>
        </is>
      </c>
    </row>
    <row r="9" ht="15" customHeight="1" s="94">
      <c r="A9" s="122" t="n">
        <v>1</v>
      </c>
      <c r="B9" s="106" t="inlineStr">
        <is>
          <t>基金市值</t>
        </is>
      </c>
      <c r="C9" s="107">
        <f>基金配息紀錄!I8*C4*C5</f>
        <v/>
      </c>
      <c r="D9" s="108" t="inlineStr">
        <is>
          <t>＝總單位數×最新NAV×匯率</t>
        </is>
      </c>
    </row>
    <row r="10" ht="15" customHeight="1" s="94">
      <c r="A10" s="122" t="n">
        <v>2</v>
      </c>
      <c r="B10" s="126" t="inlineStr">
        <is>
          <t>北區不動產估值</t>
        </is>
      </c>
      <c r="C10" s="170" t="n">
        <v>21050000</v>
      </c>
      <c r="D10" s="128" t="inlineStr">
        <is>
          <t>市場估值，全額歸屬本人</t>
        </is>
      </c>
    </row>
    <row r="11" ht="15" customHeight="1" s="94">
      <c r="A11" s="122" t="n">
        <v>3</v>
      </c>
      <c r="B11" s="129" t="inlineStr">
        <is>
          <t>東區不動產估值</t>
        </is>
      </c>
      <c r="C11" s="170" t="n">
        <v>7481250</v>
      </c>
      <c r="D11" s="132" t="inlineStr">
        <is>
          <t>與弟弟共有各半，此為本人份額</t>
        </is>
      </c>
    </row>
    <row r="12" ht="17.15" customHeight="1" s="94">
      <c r="A12" s="122" t="n">
        <v>4</v>
      </c>
      <c r="B12" s="106" t="inlineStr">
        <is>
          <t>股票市值(0050/0052/2330等)</t>
        </is>
      </c>
      <c r="C12" s="170" t="n">
        <v>0</v>
      </c>
      <c r="D12" s="108" t="inlineStr">
        <is>
          <t>請填入市場現值</t>
        </is>
      </c>
    </row>
    <row r="13" ht="15" customHeight="1" s="94">
      <c r="A13" s="122" t="n">
        <v>5</v>
      </c>
      <c r="B13" s="106" t="inlineStr">
        <is>
          <t>現金／存款</t>
        </is>
      </c>
      <c r="C13" s="170" t="n">
        <v>0</v>
      </c>
      <c r="D13" s="108" t="inlineStr">
        <is>
          <t>請填入銀行帳戶餘額</t>
        </is>
      </c>
    </row>
    <row r="14" ht="15" customHeight="1" s="94">
      <c r="A14" s="103" t="inlineStr">
        <is>
          <t>總資產</t>
        </is>
      </c>
      <c r="B14" s="105" t="n"/>
      <c r="C14" s="110">
        <f>SUM(C9:C13)</f>
        <v/>
      </c>
      <c r="D14" s="125" t="n"/>
    </row>
    <row r="15" ht="15" customHeight="1" s="94">
      <c r="A15" s="184" t="inlineStr">
        <is>
          <t>（備忘）家妍投資剩餘部位</t>
        </is>
      </c>
      <c r="B15" s="105" t="n"/>
      <c r="C15" s="185">
        <f>股票投資!C24</f>
        <v/>
      </c>
      <c r="D15" s="171" t="inlineStr">
        <is>
          <t>投機性個股，屬家妍個人資產，不計入淨值</t>
        </is>
      </c>
    </row>
    <row r="17" ht="21.75" customHeight="1" s="94">
      <c r="A17" s="101" t="inlineStr">
        <is>
          <t>📉 負債</t>
        </is>
      </c>
      <c r="B17" s="96" t="n"/>
      <c r="C17" s="96" t="n"/>
      <c r="D17" s="97" t="n"/>
    </row>
    <row r="18" ht="15" customHeight="1" s="94">
      <c r="A18" s="125" t="n"/>
      <c r="B18" s="103" t="inlineStr">
        <is>
          <t>項目</t>
        </is>
      </c>
      <c r="C18" s="102" t="inlineStr">
        <is>
          <t>金額</t>
        </is>
      </c>
      <c r="D18" s="103" t="inlineStr">
        <is>
          <t>說明</t>
        </is>
      </c>
    </row>
    <row r="19" ht="15" customHeight="1" s="94">
      <c r="A19" s="135" t="n">
        <v>1</v>
      </c>
      <c r="B19" s="126" t="inlineStr">
        <is>
          <t>北區原房貸餘額</t>
        </is>
      </c>
      <c r="C19" s="186">
        <f>貸款總覽!L5</f>
        <v/>
      </c>
      <c r="D19" s="128" t="inlineStr">
        <is>
          <t>理論剩餘本金＝依起始日期與已繳期數攤還試算</t>
        </is>
      </c>
    </row>
    <row r="20" ht="15" customHeight="1" s="94">
      <c r="A20" s="135" t="n">
        <v>2</v>
      </c>
      <c r="B20" s="126" t="inlineStr">
        <is>
          <t>北區理財型房貸餘額</t>
        </is>
      </c>
      <c r="C20" s="186">
        <f>貸款總覽!L6</f>
        <v/>
      </c>
      <c r="D20" s="128" t="inlineStr">
        <is>
          <t>理論剩餘本金＝依起始日期與已繳期數攤還試算</t>
        </is>
      </c>
    </row>
    <row r="21" ht="15" customHeight="1" s="94">
      <c r="A21" s="144" t="n">
        <v>3</v>
      </c>
      <c r="B21" s="129" t="inlineStr">
        <is>
          <t>東區房貸餘額</t>
        </is>
      </c>
      <c r="C21" s="187">
        <f>貸款總覽!L7</f>
        <v/>
      </c>
      <c r="D21" s="132" t="inlineStr">
        <is>
          <t>理論剩餘本金＝依起始日期與已繳期數攤還試算</t>
        </is>
      </c>
    </row>
    <row r="22" ht="15" customHeight="1" s="94">
      <c r="A22" s="122" t="n">
        <v>4</v>
      </c>
      <c r="B22" s="106" t="inlineStr">
        <is>
          <t>車貸餘額</t>
        </is>
      </c>
      <c r="C22" s="112">
        <f>貸款總覽!L8</f>
        <v/>
      </c>
      <c r="D22" s="108" t="inlineStr">
        <is>
          <t>理論剩餘本金＝依起始日期與已繳期數攤還試算</t>
        </is>
      </c>
    </row>
    <row r="23" ht="15" customHeight="1" s="94">
      <c r="A23" s="122" t="n">
        <v>5</v>
      </c>
      <c r="B23" s="106" t="inlineStr">
        <is>
          <t>信貸餘額</t>
        </is>
      </c>
      <c r="C23" s="112">
        <f>貸款總覽!L9</f>
        <v/>
      </c>
      <c r="D23" s="108" t="inlineStr">
        <is>
          <t>理論剩餘本金＝依起始日期與已繳期數攤還試算</t>
        </is>
      </c>
    </row>
    <row r="24" ht="15" customHeight="1" s="94">
      <c r="A24" s="135" t="n">
        <v>6</v>
      </c>
      <c r="B24" s="126" t="inlineStr">
        <is>
          <t>北區房貸壽險剩餘保費</t>
        </is>
      </c>
      <c r="C24" s="186">
        <f>貸款總覽!L14</f>
        <v/>
      </c>
      <c r="D24" s="128" t="inlineStr">
        <is>
          <t>剩餘保費＝直線攤還法，依已繳期數遞減</t>
        </is>
      </c>
    </row>
    <row r="25" ht="15" customHeight="1" s="94">
      <c r="A25" s="144" t="n">
        <v>7</v>
      </c>
      <c r="B25" s="129" t="inlineStr">
        <is>
          <t>東區房貸壽險剩餘保費</t>
        </is>
      </c>
      <c r="C25" s="187">
        <f>貸款總覽!L15</f>
        <v/>
      </c>
      <c r="D25" s="132" t="inlineStr">
        <is>
          <t>剩餘保費＝直線攤還法，依已繳期數遞減</t>
        </is>
      </c>
    </row>
    <row r="26" ht="15" customHeight="1" s="94">
      <c r="A26" s="103" t="inlineStr">
        <is>
          <t>總負債</t>
        </is>
      </c>
      <c r="B26" s="105" t="n"/>
      <c r="C26" s="188">
        <f>SUM(C19:C25)</f>
        <v/>
      </c>
      <c r="D26" s="125" t="n"/>
    </row>
    <row r="28" ht="21.75" customHeight="1" s="94">
      <c r="A28" s="101" t="inlineStr">
        <is>
          <t>🧾 淨值</t>
        </is>
      </c>
      <c r="B28" s="96" t="n"/>
      <c r="C28" s="96" t="n"/>
      <c r="D28" s="97" t="n"/>
    </row>
    <row r="29" ht="15" customHeight="1" s="94">
      <c r="A29" s="103" t="inlineStr">
        <is>
          <t>淨值（資產－負債）</t>
        </is>
      </c>
      <c r="B29" s="105" t="n"/>
      <c r="C29" s="110">
        <f>C14-C26</f>
        <v/>
      </c>
      <c r="D29" s="125" t="n"/>
    </row>
    <row r="30" ht="15" customHeight="1" s="94">
      <c r="A30" s="106" t="inlineStr">
        <is>
          <t>負債比</t>
        </is>
      </c>
      <c r="B30" s="105" t="n"/>
      <c r="C30" s="113">
        <f>C26/C14</f>
        <v/>
      </c>
      <c r="D30" s="108" t="inlineStr">
        <is>
          <t>總負債÷總資產</t>
        </is>
      </c>
    </row>
    <row r="31" ht="17.15" customHeight="1" s="94">
      <c r="A31" s="106" t="inlineStr">
        <is>
          <t>基金未實現損益(USD)</t>
        </is>
      </c>
      <c r="B31" s="105" t="n"/>
      <c r="C31" s="160">
        <f>(基金配息紀錄!I8*(C4-基金配息紀錄!L8))</f>
        <v/>
      </c>
      <c r="D31" s="108" t="inlineStr">
        <is>
          <t>＝總單位數×(最新NAV－加權平均成本)</t>
        </is>
      </c>
    </row>
    <row r="33" ht="21.75" customHeight="1" s="94">
      <c r="A33" s="101" t="inlineStr">
        <is>
          <t>💡 使用說明</t>
        </is>
      </c>
      <c r="B33" s="96" t="n"/>
      <c r="C33" s="96" t="n"/>
      <c r="D33" s="97" t="n"/>
    </row>
    <row r="34" ht="27.75" customHeight="1" s="94">
      <c r="B34" s="118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94">
      <c r="B35" s="118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94">
      <c r="B36" s="118" t="inlineStr">
        <is>
          <t>本表淨值與儀表板同步顯示，是判斷整體財務健康度的核心指標。</t>
        </is>
      </c>
    </row>
  </sheetData>
  <mergeCells count="15">
    <mergeCell ref="A1:D1"/>
    <mergeCell ref="A26:B26"/>
    <mergeCell ref="A17:D17"/>
    <mergeCell ref="A30:B30"/>
    <mergeCell ref="B36:D36"/>
    <mergeCell ref="A15:B15"/>
    <mergeCell ref="A29:B29"/>
    <mergeCell ref="A28:D28"/>
    <mergeCell ref="A3:D3"/>
    <mergeCell ref="B35:D35"/>
    <mergeCell ref="A7:D7"/>
    <mergeCell ref="A14:B14"/>
    <mergeCell ref="A33:D33"/>
    <mergeCell ref="A31:B31"/>
    <mergeCell ref="B34:D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2026-09-04T00:24:39Z</dcterms:created>
  <dcterms:modified xmlns:dcterms="http://purl.org/dc/terms/" xmlns:xsi="http://www.w3.org/2001/XMLSchema-instance" xsi:type="dcterms:W3CDTF">2026-09-04T00:25:07Z</dcterms:modified>
  <cp:revision>0</cp:revision>
</cp:coreProperties>
</file>