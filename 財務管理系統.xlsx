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30915" windowHeight="15675" tabRatio="500" firstSheet="0" activeTab="9" autoFilterDateGrouping="1"/>
  </bookViews>
  <sheets>
    <sheet xmlns:r="http://schemas.openxmlformats.org/officeDocument/2006/relationships" name="儀表板" sheetId="1" state="visible" r:id="rId1"/>
    <sheet xmlns:r="http://schemas.openxmlformats.org/officeDocument/2006/relationships" name="資產負債表" sheetId="2" state="visible" r:id="rId2"/>
    <sheet xmlns:r="http://schemas.openxmlformats.org/officeDocument/2006/relationships" name="淨值歷史" sheetId="3" state="visible" r:id="rId3"/>
    <sheet xmlns:r="http://schemas.openxmlformats.org/officeDocument/2006/relationships" name="年度總結" sheetId="4" state="visible" r:id="rId4"/>
    <sheet xmlns:r="http://schemas.openxmlformats.org/officeDocument/2006/relationships" name="股票部位" sheetId="5" state="visible" r:id="rId5"/>
    <sheet xmlns:r="http://schemas.openxmlformats.org/officeDocument/2006/relationships" name="基金配息紀錄" sheetId="6" state="visible" r:id="rId6"/>
    <sheet xmlns:r="http://schemas.openxmlformats.org/officeDocument/2006/relationships" name="收支明細" sheetId="7" state="visible" r:id="rId7"/>
    <sheet xmlns:r="http://schemas.openxmlformats.org/officeDocument/2006/relationships" name="信用卡年支出" sheetId="8" state="visible" r:id="rId8"/>
    <sheet xmlns:r="http://schemas.openxmlformats.org/officeDocument/2006/relationships" name="貸款總覽" sheetId="9" state="visible" r:id="rId9"/>
    <sheet xmlns:r="http://schemas.openxmlformats.org/officeDocument/2006/relationships" name="育兒費" sheetId="10" state="visible" r:id="rId10"/>
    <sheet xmlns:r="http://schemas.openxmlformats.org/officeDocument/2006/relationships" name="請款單" sheetId="11" state="visible" r:id="rId11"/>
    <sheet xmlns:r="http://schemas.openxmlformats.org/officeDocument/2006/relationships" name="股票投資" sheetId="12" state="visible" r:id="rId12"/>
  </sheets>
  <definedNames>
    <definedName name="請款單月份清單">'育兒費'!$A$12:$A$62</definedName>
    <definedName name="_xlnm._FilterDatabase" localSheetId="9" hidden="1">'育兒費'!$K$11:$N$633</definedName>
    <definedName name="_xlnm.Print_Area" localSheetId="10">'請款單'!$A$1:$D$39</definedName>
  </definedNames>
  <calcPr calcId="181029" fullCalcOnLoad="1"/>
</workbook>
</file>

<file path=xl/styles.xml><?xml version="1.0" encoding="utf-8"?>
<styleSheet xmlns="http://schemas.openxmlformats.org/spreadsheetml/2006/main">
  <numFmts count="8">
    <numFmt numFmtId="164" formatCode="\$#,##0;&quot;($&quot;#,##0\);\-"/>
    <numFmt numFmtId="165" formatCode="\$#,##0;&quot;-$&quot;#,##0;\-"/>
    <numFmt numFmtId="166" formatCode="&quot;-$&quot;#,##0;&quot;-$&quot;#,##0;\-"/>
    <numFmt numFmtId="167" formatCode="0.0%"/>
    <numFmt numFmtId="168" formatCode="#,##0.000"/>
    <numFmt numFmtId="169" formatCode="\$#,##0.00;&quot;($&quot;#,##0.00\);\-"/>
    <numFmt numFmtId="170" formatCode="yyyy/mm/dd"/>
    <numFmt numFmtId="171" formatCode="0.000"/>
  </numFmts>
  <fonts count="62">
    <font>
      <name val="Calibri"/>
      <charset val="1"/>
      <family val="2"/>
      <color theme="1"/>
      <sz val="11"/>
    </font>
    <font>
      <name val="Noto Sans CJK SC"/>
      <charset val="1"/>
      <family val="2"/>
      <b val="1"/>
      <color rgb="FFFFFFFF"/>
      <sz val="16"/>
    </font>
    <font>
      <name val="Arial"/>
      <family val="2"/>
      <color rgb="FF000000"/>
      <sz val="11"/>
    </font>
    <font>
      <name val="Noto Sans CJK SC"/>
      <charset val="1"/>
      <family val="2"/>
      <i val="1"/>
      <color rgb="FF7F7F7F"/>
      <sz val="9"/>
    </font>
    <font>
      <name val="Noto Sans CJK SC"/>
      <charset val="1"/>
      <family val="2"/>
      <color rgb="FF0000FF"/>
      <sz val="9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b val="1"/>
      <color rgb="FF000000"/>
      <sz val="11"/>
    </font>
    <font>
      <name val="Noto Sans CJK SC"/>
      <charset val="1"/>
      <family val="2"/>
      <color rgb="FF000000"/>
      <sz val="11"/>
    </font>
    <font>
      <name val="Arial"/>
      <family val="2"/>
      <color rgb="FF008000"/>
      <sz val="11"/>
    </font>
    <font>
      <name val="Noto Sans CJK SC"/>
      <charset val="1"/>
      <family val="2"/>
      <color rgb="FF7F7F7F"/>
      <sz val="9"/>
    </font>
    <font>
      <name val="Arial"/>
      <family val="2"/>
      <color rgb="FFC00000"/>
      <sz val="11"/>
    </font>
    <font>
      <name val="Arial"/>
      <family val="2"/>
      <b val="1"/>
      <color rgb="FF000000"/>
      <sz val="11"/>
    </font>
    <font>
      <name val="Noto Sans CJK SC"/>
      <charset val="1"/>
      <family val="2"/>
      <b val="1"/>
      <color rgb="FFFFFFFF"/>
      <sz val="15"/>
    </font>
    <font>
      <name val="Noto Sans CJK SC"/>
      <charset val="1"/>
      <family val="2"/>
      <color rgb="FF0000FF"/>
      <sz val="11"/>
    </font>
    <font>
      <name val="Arial"/>
      <family val="2"/>
      <color rgb="FF0000FF"/>
      <sz val="11"/>
    </font>
    <font>
      <name val="Arial"/>
      <family val="2"/>
      <color rgb="FF7F7F7F"/>
      <sz val="9"/>
    </font>
    <font>
      <name val="Arial"/>
      <family val="2"/>
      <b val="1"/>
      <color rgb="FFC00000"/>
      <sz val="11"/>
    </font>
    <font>
      <name val="Noto Sans CJK SC"/>
      <charset val="1"/>
      <family val="2"/>
      <b val="1"/>
      <color rgb="FF000000"/>
      <sz val="9"/>
    </font>
    <font>
      <name val="Noto Sans CJK SC"/>
      <charset val="1"/>
      <family val="2"/>
      <b val="1"/>
      <color rgb="FF999999"/>
      <sz val="8"/>
    </font>
    <font>
      <name val="Noto Sans CJK SC"/>
      <charset val="1"/>
      <family val="2"/>
      <b val="1"/>
      <color rgb="FF000000"/>
      <sz val="8"/>
    </font>
    <font>
      <name val="Cambria"/>
      <family val="1"/>
      <color rgb="FF999999"/>
      <sz val="8"/>
    </font>
    <font>
      <name val="Arial"/>
      <family val="2"/>
      <color rgb="FF0000FF"/>
      <sz val="9"/>
    </font>
    <font>
      <name val="Noto Sans CJK SC"/>
      <charset val="1"/>
      <family val="2"/>
      <i val="1"/>
      <color rgb="FF7F7F7F"/>
      <sz val="8"/>
    </font>
    <font>
      <name val="Arial"/>
      <family val="2"/>
      <color rgb="FF7F7F7F"/>
      <sz val="8"/>
    </font>
    <font>
      <name val="Noto Sans CJK SC"/>
      <charset val="1"/>
      <family val="2"/>
      <color rgb="FF7F7F7F"/>
      <sz val="8"/>
    </font>
    <font>
      <name val="Arial"/>
      <family val="2"/>
      <color rgb="FF000000"/>
      <sz val="9"/>
    </font>
    <font>
      <name val="Arial"/>
      <family val="2"/>
      <b val="1"/>
      <color rgb="FF0000FF"/>
      <sz val="14"/>
    </font>
    <font>
      <name val="Arial"/>
      <family val="2"/>
      <color rgb="FF000000"/>
      <sz val="12"/>
    </font>
    <font>
      <name val="Noto Sans CJK SC"/>
      <charset val="1"/>
      <family val="2"/>
      <color rgb="FF000000"/>
      <sz val="9"/>
    </font>
    <font>
      <name val="Noto Sans CJK SC"/>
      <charset val="1"/>
      <family val="2"/>
      <b val="1"/>
      <color rgb="FF000000"/>
      <sz val="16"/>
    </font>
    <font>
      <name val="Noto Sans CJK SC"/>
      <charset val="1"/>
      <family val="2"/>
      <i val="1"/>
      <color rgb="FF7F7F7F"/>
      <sz val="11"/>
    </font>
    <font>
      <name val="Arial"/>
      <family val="2"/>
      <i val="1"/>
      <color rgb="FF7F7F7F"/>
      <sz val="11"/>
    </font>
    <font>
      <name val="細明體"/>
      <charset val="136"/>
      <family val="3"/>
      <sz val="9"/>
    </font>
    <font>
      <name val="Noto Sans CJK SC"/>
      <b val="1"/>
      <color rgb="FFFFFFFF"/>
      <sz val="16"/>
    </font>
    <font>
      <name val="Noto Sans CJK SC"/>
      <i val="1"/>
      <color rgb="FF5B6472"/>
      <sz val="10"/>
    </font>
    <font>
      <name val="Noto Sans CJK SC"/>
      <b val="1"/>
      <color rgb="FF000000"/>
      <sz val="11"/>
    </font>
    <font>
      <name val="Noto Sans CJK SC"/>
      <b val="1"/>
      <color rgb="FFFFFFFF"/>
      <sz val="11"/>
    </font>
    <font>
      <name val="Noto Sans CJK SC"/>
      <color rgb="FF000000"/>
      <sz val="11"/>
    </font>
    <font>
      <name val="Arial"/>
      <family val="2"/>
      <color rgb="FF000000"/>
      <sz val="11"/>
    </font>
    <font>
      <name val="Arial"/>
      <family val="2"/>
      <color rgb="FF008000"/>
      <sz val="11"/>
    </font>
    <font>
      <name val="Calibri"/>
      <family val="2"/>
      <sz val="9"/>
    </font>
    <font>
      <name val="Arial"/>
      <family val="2"/>
      <color rgb="FF008000"/>
      <sz val="10"/>
    </font>
    <font>
      <name val="Calibri"/>
      <family val="2"/>
      <sz val="11"/>
    </font>
    <font>
      <name val="Noto Sans CJK SC"/>
      <b val="1"/>
      <color rgb="FFFFFFFF"/>
      <sz val="15"/>
    </font>
    <font>
      <name val="Noto Sans CJK SC"/>
      <b val="1"/>
      <color rgb="FF000000"/>
      <sz val="9"/>
    </font>
    <font>
      <name val="Arial"/>
      <family val="2"/>
      <color rgb="FF0000FF"/>
      <sz val="11"/>
    </font>
    <font>
      <name val="Noto Sans CJK SC"/>
      <color rgb="FF0000FF"/>
      <sz val="11"/>
    </font>
    <font>
      <name val="Arial"/>
      <family val="2"/>
      <b val="1"/>
      <color rgb="FF000000"/>
      <sz val="11"/>
    </font>
    <font>
      <name val="細明體"/>
      <charset val="136"/>
      <family val="3"/>
      <color rgb="FF000000"/>
      <sz val="9"/>
    </font>
    <font>
      <name val="Calibri"/>
      <sz val="9"/>
    </font>
    <font>
      <name val="Arial"/>
      <color rgb="FF008000"/>
      <sz val="10"/>
    </font>
    <font>
      <name val="Arial"/>
      <color rgb="FF0000FF"/>
      <sz val="11"/>
    </font>
    <font>
      <name val="Arial"/>
      <color rgb="FF000000"/>
      <sz val="11"/>
    </font>
    <font>
      <name val="Arial"/>
      <b val="1"/>
      <color rgb="FF000000"/>
      <sz val="11"/>
    </font>
    <font>
      <name val="Arial"/>
      <b val="1"/>
      <color rgb="FF008000"/>
      <sz val="11"/>
    </font>
    <font>
      <name val="Arial"/>
      <b val="1"/>
      <color rgb="FFC00000"/>
      <sz val="11"/>
    </font>
    <font>
      <name val="Arial"/>
      <b val="1"/>
      <color rgb="FF0000FF"/>
      <sz val="11"/>
    </font>
    <font>
      <name val="Arial"/>
      <b val="1"/>
      <i val="1"/>
      <color rgb="FF7F7F7F"/>
      <sz val="11"/>
    </font>
    <font>
      <name val="Calibri"/>
      <b val="1"/>
      <color theme="1"/>
      <sz val="11"/>
    </font>
    <font>
      <name val="Arial"/>
      <b val="1"/>
      <color rgb="FF7F7F7F"/>
      <sz val="8"/>
    </font>
    <font>
      <name val="Arial"/>
      <b val="1"/>
      <color rgb="FF0000FF"/>
      <sz val="9"/>
    </font>
    <font>
      <name val="Arial"/>
      <b val="1"/>
      <color rgb="FF000000"/>
      <sz val="9"/>
    </font>
  </fonts>
  <fills count="13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DE7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2E75B6"/>
      </patternFill>
    </fill>
  </fills>
  <borders count="12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medium">
        <color rgb="FF1F3864"/>
      </top>
      <bottom/>
      <diagonal/>
    </border>
    <border>
      <left/>
      <right style="medium">
        <color rgb="FF1F3864"/>
      </right>
      <top style="medium">
        <color rgb="FF1F3864"/>
      </top>
      <bottom/>
      <diagonal/>
    </border>
  </borders>
  <cellStyleXfs count="1">
    <xf numFmtId="0" fontId="0" fillId="0" borderId="0"/>
  </cellStyleXfs>
  <cellXfs count="28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165" fontId="10" fillId="0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166" fontId="10" fillId="0" borderId="2" applyAlignment="1" pivotButton="0" quotePrefix="0" xfId="0">
      <alignment horizontal="center" vertical="center"/>
    </xf>
    <xf numFmtId="167" fontId="2" fillId="0" borderId="2" applyAlignment="1" pivotButton="0" quotePrefix="0" xfId="0">
      <alignment horizontal="center" vertical="center"/>
    </xf>
    <xf numFmtId="168" fontId="8" fillId="0" borderId="2" applyAlignment="1" pivotButton="0" quotePrefix="0" xfId="0">
      <alignment horizontal="center" vertical="center"/>
    </xf>
    <xf numFmtId="169" fontId="8" fillId="0" borderId="2" applyAlignment="1" pivotButton="0" quotePrefix="0" xfId="0">
      <alignment horizontal="center" vertical="center"/>
    </xf>
    <xf numFmtId="10" fontId="8" fillId="0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center"/>
    </xf>
    <xf numFmtId="167" fontId="14" fillId="6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165" fontId="10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165" fontId="10" fillId="8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165" fontId="16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164" fontId="14" fillId="7" borderId="2" applyAlignment="1" pivotButton="0" quotePrefix="0" xfId="0">
      <alignment horizontal="center" vertical="center"/>
    </xf>
    <xf numFmtId="10" fontId="14" fillId="7" borderId="2" applyAlignment="1" pivotButton="0" quotePrefix="0" xfId="0">
      <alignment horizontal="center" vertical="center"/>
    </xf>
    <xf numFmtId="14" fontId="14" fillId="6" borderId="2" applyAlignment="1" pivotButton="0" quotePrefix="0" xfId="0">
      <alignment horizontal="center" vertical="center"/>
    </xf>
    <xf numFmtId="1" fontId="2" fillId="7" borderId="2" applyAlignment="1" pivotButton="0" quotePrefix="0" xfId="0">
      <alignment horizontal="center" vertical="center"/>
    </xf>
    <xf numFmtId="164" fontId="2" fillId="7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164" fontId="14" fillId="8" borderId="2" applyAlignment="1" pivotButton="0" quotePrefix="0" xfId="0">
      <alignment horizontal="center" vertical="center"/>
    </xf>
    <xf numFmtId="10" fontId="14" fillId="8" borderId="2" applyAlignment="1" pivotButton="0" quotePrefix="0" xfId="0">
      <alignment horizontal="center" vertical="center"/>
    </xf>
    <xf numFmtId="1" fontId="2" fillId="8" borderId="2" applyAlignment="1" pivotButton="0" quotePrefix="0" xfId="0">
      <alignment horizontal="center" vertical="center"/>
    </xf>
    <xf numFmtId="164" fontId="2" fillId="8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10" fontId="14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18" fillId="0" borderId="0" pivotButton="0" quotePrefix="0" xfId="0"/>
    <xf numFmtId="0" fontId="19" fillId="5" borderId="2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0" borderId="2" applyAlignment="1" pivotButton="0" quotePrefix="0" xfId="0">
      <alignment horizontal="center" vertical="center"/>
    </xf>
    <xf numFmtId="169" fontId="14" fillId="0" borderId="2" applyAlignment="1" pivotButton="0" quotePrefix="0" xfId="0">
      <alignment horizontal="center" vertical="center"/>
    </xf>
    <xf numFmtId="168" fontId="14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9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  <xf numFmtId="170" fontId="20" fillId="0" borderId="0" pivotButton="0" quotePrefix="0" xfId="0"/>
    <xf numFmtId="0" fontId="4" fillId="0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/>
    </xf>
    <xf numFmtId="169" fontId="14" fillId="6" borderId="2" applyAlignment="1" pivotButton="0" quotePrefix="0" xfId="0">
      <alignment horizontal="center" vertical="center"/>
    </xf>
    <xf numFmtId="168" fontId="14" fillId="6" borderId="2" applyAlignment="1" pivotButton="0" quotePrefix="0" xfId="0">
      <alignment horizontal="center" vertical="center"/>
    </xf>
    <xf numFmtId="2" fontId="2" fillId="6" borderId="2" applyAlignment="1" pivotButton="0" quotePrefix="0" xfId="0">
      <alignment horizontal="center" vertical="center"/>
    </xf>
    <xf numFmtId="164" fontId="14" fillId="6" borderId="2" applyAlignment="1" pivotButton="0" quotePrefix="0" xfId="0">
      <alignment horizontal="center" vertical="center"/>
    </xf>
    <xf numFmtId="164" fontId="2" fillId="6" borderId="2" applyAlignment="1" pivotButton="0" quotePrefix="0" xfId="0">
      <alignment horizontal="center" vertical="center"/>
    </xf>
    <xf numFmtId="168" fontId="2" fillId="6" borderId="2" applyAlignment="1" pivotButton="0" quotePrefix="0" xfId="0">
      <alignment horizontal="center" vertical="center"/>
    </xf>
    <xf numFmtId="169" fontId="2" fillId="6" borderId="2" applyAlignment="1" pivotButton="0" quotePrefix="0" xfId="0">
      <alignment horizontal="center" vertical="center"/>
    </xf>
    <xf numFmtId="0" fontId="22" fillId="6" borderId="2" applyAlignment="1" pivotButton="0" quotePrefix="0" xfId="0">
      <alignment horizontal="left" vertical="center" wrapText="1"/>
    </xf>
    <xf numFmtId="168" fontId="11" fillId="5" borderId="2" applyAlignment="1" pivotButton="0" quotePrefix="0" xfId="0">
      <alignment horizontal="center" vertical="center"/>
    </xf>
    <xf numFmtId="169" fontId="11" fillId="5" borderId="2" applyAlignment="1" pivotButton="0" quotePrefix="0" xfId="0">
      <alignment horizontal="center" vertical="center"/>
    </xf>
    <xf numFmtId="171" fontId="14" fillId="0" borderId="2" applyAlignment="1" pivotButton="0" quotePrefix="0" xfId="0">
      <alignment horizontal="center" vertical="center"/>
    </xf>
    <xf numFmtId="10" fontId="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171" fontId="14" fillId="6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71" fontId="11" fillId="5" borderId="2" applyAlignment="1" pivotButton="0" quotePrefix="0" xfId="0">
      <alignment horizontal="center" vertical="center"/>
    </xf>
    <xf numFmtId="10" fontId="11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3" fontId="14" fillId="0" borderId="2" applyAlignment="1" pivotButton="0" quotePrefix="0" xfId="0">
      <alignment horizontal="center" vertical="center"/>
    </xf>
    <xf numFmtId="4" fontId="14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164" fontId="11" fillId="5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left" vertical="center"/>
    </xf>
    <xf numFmtId="1" fontId="23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21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2" fillId="6" borderId="2" applyAlignment="1" pivotButton="0" quotePrefix="0" xfId="0">
      <alignment horizontal="left" vertical="center"/>
    </xf>
    <xf numFmtId="0" fontId="25" fillId="6" borderId="2" applyAlignment="1" pivotButton="0" quotePrefix="0" xfId="0">
      <alignment horizontal="center" vertical="center"/>
    </xf>
    <xf numFmtId="164" fontId="25" fillId="6" borderId="2" applyAlignment="1" pivotButton="0" quotePrefix="0" xfId="0">
      <alignment horizontal="center" vertical="center"/>
    </xf>
    <xf numFmtId="0" fontId="25" fillId="0" borderId="2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7" fillId="5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164" fontId="25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left" vertical="center"/>
    </xf>
    <xf numFmtId="2" fontId="14" fillId="6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164" fontId="31" fillId="0" borderId="2" applyAlignment="1" pivotButton="0" quotePrefix="0" xfId="0">
      <alignment horizontal="center" vertical="center"/>
    </xf>
    <xf numFmtId="166" fontId="10" fillId="7" borderId="2" applyAlignment="1" pivotButton="0" quotePrefix="0" xfId="0">
      <alignment horizontal="center" vertical="center"/>
    </xf>
    <xf numFmtId="166" fontId="10" fillId="8" borderId="2" applyAlignment="1" pivotButton="0" quotePrefix="0" xfId="0">
      <alignment horizontal="center" vertical="center"/>
    </xf>
    <xf numFmtId="166" fontId="16" fillId="5" borderId="2" applyAlignment="1" pivotButton="0" quotePrefix="0" xfId="0">
      <alignment horizontal="center" vertical="center"/>
    </xf>
    <xf numFmtId="14" fontId="4" fillId="3" borderId="2" applyAlignment="1" pivotButton="0" quotePrefix="0" xfId="0">
      <alignment horizontal="left" vertical="center"/>
    </xf>
    <xf numFmtId="0" fontId="37" fillId="0" borderId="0" pivotButton="0" quotePrefix="0" xfId="0"/>
    <xf numFmtId="0" fontId="35" fillId="11" borderId="7" applyAlignment="1" pivotButton="0" quotePrefix="0" xfId="0">
      <alignment horizontal="center"/>
    </xf>
    <xf numFmtId="170" fontId="0" fillId="0" borderId="7" pivotButton="0" quotePrefix="0" xfId="0"/>
    <xf numFmtId="2" fontId="0" fillId="0" borderId="7" pivotButton="0" quotePrefix="0" xfId="0"/>
    <xf numFmtId="3" fontId="0" fillId="0" borderId="7" pivotButton="0" quotePrefix="0" xfId="0"/>
    <xf numFmtId="0" fontId="0" fillId="0" borderId="7" pivotButton="0" quotePrefix="0" xfId="0"/>
    <xf numFmtId="0" fontId="42" fillId="0" borderId="0" pivotButton="0" quotePrefix="0" xfId="0"/>
    <xf numFmtId="0" fontId="40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44" fillId="11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/>
    </xf>
    <xf numFmtId="3" fontId="45" fillId="0" borderId="0" applyAlignment="1" pivotButton="0" quotePrefix="0" xfId="0">
      <alignment horizontal="center" vertical="center"/>
    </xf>
    <xf numFmtId="2" fontId="45" fillId="0" borderId="0" applyAlignment="1" pivotButton="0" quotePrefix="0" xfId="0">
      <alignment horizontal="center" vertical="center"/>
    </xf>
    <xf numFmtId="3" fontId="38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3" fontId="47" fillId="0" borderId="0" applyAlignment="1" pivotButton="0" quotePrefix="0" xfId="0">
      <alignment horizontal="center" vertical="center"/>
    </xf>
    <xf numFmtId="0" fontId="25" fillId="0" borderId="7" applyAlignment="1" pivotButton="0" quotePrefix="0" xfId="0">
      <alignment horizontal="left" vertical="center"/>
    </xf>
    <xf numFmtId="0" fontId="41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9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39" fillId="0" borderId="0" applyAlignment="1" pivotButton="0" quotePrefix="0" xfId="0">
      <alignment vertical="top" wrapText="1"/>
    </xf>
    <xf numFmtId="0" fontId="6" fillId="5" borderId="2" applyAlignment="1" pivotButton="0" quotePrefix="0" xfId="0">
      <alignment horizontal="left" vertical="center"/>
    </xf>
    <xf numFmtId="0" fontId="36" fillId="12" borderId="0" pivotButton="0" quotePrefix="0" xfId="0"/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34" fillId="0" borderId="0" applyAlignment="1" pivotButton="0" quotePrefix="0" xfId="0">
      <alignment vertical="center" wrapText="1"/>
    </xf>
    <xf numFmtId="0" fontId="33" fillId="10" borderId="0" applyAlignment="1" pivotButton="0" quotePrefix="0" xfId="0">
      <alignment vertical="center"/>
    </xf>
    <xf numFmtId="0" fontId="38" fillId="0" borderId="0" applyAlignment="1" pivotButton="0" quotePrefix="0" xfId="0">
      <alignment vertical="center" wrapText="1"/>
    </xf>
    <xf numFmtId="0" fontId="12" fillId="2" borderId="1" applyAlignment="1" pivotButton="0" quotePrefix="0" xfId="0">
      <alignment horizontal="center" vertical="center"/>
    </xf>
    <xf numFmtId="0" fontId="30" fillId="0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43" fillId="10" borderId="0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11" fillId="5" borderId="2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/>
    </xf>
    <xf numFmtId="0" fontId="29" fillId="9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26" fillId="6" borderId="2" applyAlignment="1" pivotButton="0" quotePrefix="0" xfId="0">
      <alignment horizontal="center" vertical="center"/>
    </xf>
    <xf numFmtId="0" fontId="6" fillId="5" borderId="7" applyAlignment="1" pivotButton="0" quotePrefix="0" xfId="0">
      <alignment horizontal="left" vertical="center"/>
    </xf>
    <xf numFmtId="164" fontId="8" fillId="0" borderId="2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165" fontId="10" fillId="0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166" fontId="10" fillId="0" borderId="2" applyAlignment="1" pivotButton="0" quotePrefix="0" xfId="0">
      <alignment horizontal="center" vertical="center"/>
    </xf>
    <xf numFmtId="167" fontId="2" fillId="0" borderId="2" applyAlignment="1" pivotButton="0" quotePrefix="0" xfId="0">
      <alignment horizontal="center" vertical="center"/>
    </xf>
    <xf numFmtId="168" fontId="8" fillId="0" borderId="2" applyAlignment="1" pivotButton="0" quotePrefix="0" xfId="0">
      <alignment horizontal="center" vertical="center"/>
    </xf>
    <xf numFmtId="169" fontId="8" fillId="0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170" fontId="0" fillId="0" borderId="7" pivotButton="0" quotePrefix="0" xfId="0"/>
    <xf numFmtId="169" fontId="14" fillId="6" borderId="2" applyAlignment="1" pivotButton="0" quotePrefix="0" xfId="0">
      <alignment horizontal="center" vertical="center"/>
    </xf>
    <xf numFmtId="164" fontId="14" fillId="6" borderId="2" applyAlignment="1" pivotButton="0" quotePrefix="0" xfId="0">
      <alignment horizontal="center" vertical="center"/>
    </xf>
    <xf numFmtId="0" fontId="30" fillId="0" borderId="7" applyAlignment="1" pivotButton="0" quotePrefix="0" xfId="0">
      <alignment horizontal="left" vertical="center"/>
    </xf>
    <xf numFmtId="164" fontId="31" fillId="0" borderId="2" applyAlignment="1" pivotButton="0" quotePrefix="0" xfId="0">
      <alignment horizontal="center" vertical="center"/>
    </xf>
    <xf numFmtId="166" fontId="10" fillId="7" borderId="2" applyAlignment="1" pivotButton="0" quotePrefix="0" xfId="0">
      <alignment horizontal="center" vertical="center"/>
    </xf>
    <xf numFmtId="166" fontId="10" fillId="8" borderId="2" applyAlignment="1" pivotButton="0" quotePrefix="0" xfId="0">
      <alignment horizontal="center" vertical="center"/>
    </xf>
    <xf numFmtId="166" fontId="16" fillId="5" borderId="2" applyAlignment="1" pivotButton="0" quotePrefix="0" xfId="0">
      <alignment horizontal="center" vertical="center"/>
    </xf>
    <xf numFmtId="169" fontId="2" fillId="0" borderId="2" applyAlignment="1" pivotButton="0" quotePrefix="0" xfId="0">
      <alignment horizontal="center" vertical="center"/>
    </xf>
    <xf numFmtId="164" fontId="14" fillId="7" borderId="2" applyAlignment="1" pivotButton="0" quotePrefix="0" xfId="0">
      <alignment horizontal="center" vertical="center"/>
    </xf>
    <xf numFmtId="164" fontId="2" fillId="7" borderId="2" applyAlignment="1" pivotButton="0" quotePrefix="0" xfId="0">
      <alignment horizontal="center" vertical="center"/>
    </xf>
    <xf numFmtId="164" fontId="14" fillId="8" borderId="2" applyAlignment="1" pivotButton="0" quotePrefix="0" xfId="0">
      <alignment horizontal="center" vertical="center"/>
    </xf>
    <xf numFmtId="164" fontId="2" fillId="8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169" fontId="14" fillId="0" borderId="2" applyAlignment="1" pivotButton="0" quotePrefix="0" xfId="0">
      <alignment horizontal="center" vertical="center"/>
    </xf>
    <xf numFmtId="168" fontId="14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70" fontId="20" fillId="0" borderId="0" pivotButton="0" quotePrefix="0" xfId="0"/>
    <xf numFmtId="168" fontId="14" fillId="6" borderId="2" applyAlignment="1" pivotButton="0" quotePrefix="0" xfId="0">
      <alignment horizontal="center" vertical="center"/>
    </xf>
    <xf numFmtId="164" fontId="2" fillId="6" borderId="2" applyAlignment="1" pivotButton="0" quotePrefix="0" xfId="0">
      <alignment horizontal="center" vertical="center"/>
    </xf>
    <xf numFmtId="168" fontId="2" fillId="6" borderId="2" applyAlignment="1" pivotButton="0" quotePrefix="0" xfId="0">
      <alignment horizontal="center" vertical="center"/>
    </xf>
    <xf numFmtId="169" fontId="2" fillId="6" borderId="2" applyAlignment="1" pivotButton="0" quotePrefix="0" xfId="0">
      <alignment horizontal="center" vertical="center"/>
    </xf>
    <xf numFmtId="168" fontId="11" fillId="5" borderId="2" applyAlignment="1" pivotButton="0" quotePrefix="0" xfId="0">
      <alignment horizontal="center" vertical="center"/>
    </xf>
    <xf numFmtId="169" fontId="11" fillId="5" borderId="2" applyAlignment="1" pivotButton="0" quotePrefix="0" xfId="0">
      <alignment horizontal="center" vertical="center"/>
    </xf>
    <xf numFmtId="171" fontId="14" fillId="0" borderId="2" applyAlignment="1" pivotButton="0" quotePrefix="0" xfId="0">
      <alignment horizontal="center" vertical="center"/>
    </xf>
    <xf numFmtId="171" fontId="14" fillId="6" borderId="2" applyAlignment="1" pivotButton="0" quotePrefix="0" xfId="0">
      <alignment horizontal="center" vertical="center"/>
    </xf>
    <xf numFmtId="171" fontId="11" fillId="5" borderId="2" applyAlignment="1" pivotButton="0" quotePrefix="0" xfId="0">
      <alignment horizontal="center" vertical="center"/>
    </xf>
    <xf numFmtId="0" fontId="9" fillId="5" borderId="7" applyAlignment="1" pivotButton="0" quotePrefix="0" xfId="0">
      <alignment horizontal="left" vertical="center"/>
    </xf>
    <xf numFmtId="0" fontId="13" fillId="6" borderId="7" applyAlignment="1" pivotButton="0" quotePrefix="0" xfId="0">
      <alignment horizontal="left" vertical="center"/>
    </xf>
    <xf numFmtId="167" fontId="14" fillId="6" borderId="2" applyAlignment="1" pivotButton="0" quotePrefix="0" xfId="0">
      <alignment horizontal="center" vertical="center"/>
    </xf>
    <xf numFmtId="165" fontId="10" fillId="7" borderId="2" applyAlignment="1" pivotButton="0" quotePrefix="0" xfId="0">
      <alignment horizontal="center" vertical="center"/>
    </xf>
    <xf numFmtId="165" fontId="10" fillId="8" borderId="2" applyAlignment="1" pivotButton="0" quotePrefix="0" xfId="0">
      <alignment horizontal="center" vertical="center"/>
    </xf>
    <xf numFmtId="165" fontId="16" fillId="5" borderId="2" applyAlignment="1" pivotButton="0" quotePrefix="0" xfId="0">
      <alignment horizontal="center" vertical="center"/>
    </xf>
    <xf numFmtId="0" fontId="17" fillId="5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164" fontId="11" fillId="5" borderId="7" applyAlignment="1" pivotButton="0" quotePrefix="0" xfId="0">
      <alignment horizontal="left" vertical="center"/>
    </xf>
    <xf numFmtId="164" fontId="21" fillId="0" borderId="2" applyAlignment="1" pivotButton="0" quotePrefix="0" xfId="0">
      <alignment horizontal="center" vertical="center"/>
    </xf>
    <xf numFmtId="164" fontId="25" fillId="6" borderId="2" applyAlignment="1" pivotButton="0" quotePrefix="0" xfId="0">
      <alignment horizontal="center" vertical="center"/>
    </xf>
    <xf numFmtId="0" fontId="26" fillId="6" borderId="7" applyAlignment="1" pivotButton="0" quotePrefix="0" xfId="0">
      <alignment horizontal="center" vertical="center"/>
    </xf>
    <xf numFmtId="164" fontId="25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left" vertical="center"/>
    </xf>
    <xf numFmtId="164" fontId="11" fillId="5" borderId="2" applyAlignment="1" pivotButton="0" quotePrefix="0" xfId="0">
      <alignment horizontal="left" vertical="center"/>
    </xf>
    <xf numFmtId="0" fontId="29" fillId="9" borderId="7" applyAlignment="1" pivotButton="0" quotePrefix="0" xfId="0">
      <alignment horizontal="center" vertical="center"/>
    </xf>
    <xf numFmtId="0" fontId="50" fillId="0" borderId="0" applyAlignment="1" pivotButton="0" quotePrefix="0" xfId="0">
      <alignment vertical="top" wrapText="1"/>
    </xf>
    <xf numFmtId="0" fontId="49" fillId="0" borderId="7" applyAlignment="1" pivotButton="0" quotePrefix="0" xfId="0">
      <alignment horizontal="center" vertical="center" wrapText="1"/>
    </xf>
    <xf numFmtId="3" fontId="51" fillId="0" borderId="0" applyAlignment="1" pivotButton="0" quotePrefix="0" xfId="0">
      <alignment horizontal="center" vertical="center"/>
    </xf>
    <xf numFmtId="2" fontId="51" fillId="0" borderId="0" applyAlignment="1" pivotButton="0" quotePrefix="0" xfId="0">
      <alignment horizontal="center" vertical="center"/>
    </xf>
    <xf numFmtId="3" fontId="52" fillId="0" borderId="0" applyAlignment="1" pivotButton="0" quotePrefix="0" xfId="0">
      <alignment horizontal="center" vertical="center"/>
    </xf>
    <xf numFmtId="3" fontId="53" fillId="0" borderId="0" applyAlignment="1" pivotButton="0" quotePrefix="0" xfId="0">
      <alignment horizontal="center" vertical="center"/>
    </xf>
    <xf numFmtId="164" fontId="54" fillId="0" borderId="2" applyAlignment="1" pivotButton="0" quotePrefix="0" xfId="0">
      <alignment horizontal="center" vertical="center"/>
    </xf>
    <xf numFmtId="165" fontId="55" fillId="0" borderId="2" applyAlignment="1" pivotButton="0" quotePrefix="0" xfId="0">
      <alignment horizontal="center" vertical="center"/>
    </xf>
    <xf numFmtId="166" fontId="55" fillId="0" borderId="2" applyAlignment="1" pivotButton="0" quotePrefix="0" xfId="0">
      <alignment horizontal="center" vertical="center"/>
    </xf>
    <xf numFmtId="167" fontId="53" fillId="0" borderId="2" applyAlignment="1" pivotButton="0" quotePrefix="0" xfId="0">
      <alignment horizontal="center" vertical="center"/>
    </xf>
    <xf numFmtId="168" fontId="54" fillId="0" borderId="2" applyAlignment="1" pivotButton="0" quotePrefix="0" xfId="0">
      <alignment horizontal="center" vertical="center"/>
    </xf>
    <xf numFmtId="169" fontId="54" fillId="0" borderId="2" applyAlignment="1" pivotButton="0" quotePrefix="0" xfId="0">
      <alignment horizontal="center" vertical="center"/>
    </xf>
    <xf numFmtId="10" fontId="54" fillId="0" borderId="2" applyAlignment="1" pivotButton="0" quotePrefix="0" xfId="0">
      <alignment horizontal="center" vertical="center"/>
    </xf>
    <xf numFmtId="169" fontId="56" fillId="6" borderId="2" applyAlignment="1" pivotButton="0" quotePrefix="0" xfId="0">
      <alignment horizontal="center" vertical="center"/>
    </xf>
    <xf numFmtId="2" fontId="56" fillId="6" borderId="2" applyAlignment="1" pivotButton="0" quotePrefix="0" xfId="0">
      <alignment horizontal="center" vertical="center"/>
    </xf>
    <xf numFmtId="164" fontId="56" fillId="6" borderId="2" applyAlignment="1" pivotButton="0" quotePrefix="0" xfId="0">
      <alignment horizontal="center" vertical="center"/>
    </xf>
    <xf numFmtId="164" fontId="57" fillId="0" borderId="2" applyAlignment="1" pivotButton="0" quotePrefix="0" xfId="0">
      <alignment horizontal="center" vertical="center"/>
    </xf>
    <xf numFmtId="166" fontId="55" fillId="7" borderId="2" applyAlignment="1" pivotButton="0" quotePrefix="0" xfId="0">
      <alignment horizontal="center" vertical="center"/>
    </xf>
    <xf numFmtId="166" fontId="55" fillId="8" borderId="2" applyAlignment="1" pivotButton="0" quotePrefix="0" xfId="0">
      <alignment horizontal="center" vertical="center"/>
    </xf>
    <xf numFmtId="169" fontId="53" fillId="0" borderId="2" applyAlignment="1" pivotButton="0" quotePrefix="0" xfId="0">
      <alignment horizontal="center" vertical="center"/>
    </xf>
    <xf numFmtId="2" fontId="58" fillId="0" borderId="7" pivotButton="0" quotePrefix="0" xfId="0"/>
    <xf numFmtId="3" fontId="58" fillId="0" borderId="7" pivotButton="0" quotePrefix="0" xfId="0"/>
    <xf numFmtId="164" fontId="53" fillId="0" borderId="2" applyAlignment="1" pivotButton="0" quotePrefix="0" xfId="0">
      <alignment horizontal="center" vertical="center"/>
    </xf>
    <xf numFmtId="3" fontId="56" fillId="0" borderId="0" applyAlignment="1" pivotButton="0" quotePrefix="0" xfId="0">
      <alignment horizontal="center" vertical="center"/>
    </xf>
    <xf numFmtId="2" fontId="56" fillId="0" borderId="0" applyAlignment="1" pivotButton="0" quotePrefix="0" xfId="0">
      <alignment horizontal="center" vertical="center"/>
    </xf>
    <xf numFmtId="169" fontId="56" fillId="0" borderId="2" applyAlignment="1" pivotButton="0" quotePrefix="0" xfId="0">
      <alignment horizontal="center" vertical="center"/>
    </xf>
    <xf numFmtId="168" fontId="56" fillId="0" borderId="2" applyAlignment="1" pivotButton="0" quotePrefix="0" xfId="0">
      <alignment horizontal="center" vertical="center"/>
    </xf>
    <xf numFmtId="2" fontId="53" fillId="0" borderId="2" applyAlignment="1" pivotButton="0" quotePrefix="0" xfId="0">
      <alignment horizontal="center" vertical="center"/>
    </xf>
    <xf numFmtId="164" fontId="56" fillId="0" borderId="2" applyAlignment="1" pivotButton="0" quotePrefix="0" xfId="0">
      <alignment horizontal="center" vertical="center"/>
    </xf>
    <xf numFmtId="168" fontId="53" fillId="0" borderId="2" applyAlignment="1" pivotButton="0" quotePrefix="0" xfId="0">
      <alignment horizontal="center" vertical="center"/>
    </xf>
    <xf numFmtId="2" fontId="53" fillId="6" borderId="2" applyAlignment="1" pivotButton="0" quotePrefix="0" xfId="0">
      <alignment horizontal="center" vertical="center"/>
    </xf>
    <xf numFmtId="164" fontId="53" fillId="6" borderId="2" applyAlignment="1" pivotButton="0" quotePrefix="0" xfId="0">
      <alignment horizontal="center" vertical="center"/>
    </xf>
    <xf numFmtId="168" fontId="53" fillId="6" borderId="2" applyAlignment="1" pivotButton="0" quotePrefix="0" xfId="0">
      <alignment horizontal="center" vertical="center"/>
    </xf>
    <xf numFmtId="169" fontId="53" fillId="6" borderId="2" applyAlignment="1" pivotButton="0" quotePrefix="0" xfId="0">
      <alignment horizontal="center" vertical="center"/>
    </xf>
    <xf numFmtId="171" fontId="56" fillId="0" borderId="2" applyAlignment="1" pivotButton="0" quotePrefix="0" xfId="0">
      <alignment horizontal="center" vertical="center"/>
    </xf>
    <xf numFmtId="10" fontId="53" fillId="0" borderId="2" applyAlignment="1" pivotButton="0" quotePrefix="0" xfId="0">
      <alignment horizontal="center" vertical="center"/>
    </xf>
    <xf numFmtId="171" fontId="56" fillId="6" borderId="2" applyAlignment="1" pivotButton="0" quotePrefix="0" xfId="0">
      <alignment horizontal="center" vertical="center"/>
    </xf>
    <xf numFmtId="167" fontId="56" fillId="6" borderId="2" applyAlignment="1" pivotButton="0" quotePrefix="0" xfId="0">
      <alignment horizontal="center" vertical="center"/>
    </xf>
    <xf numFmtId="165" fontId="55" fillId="7" borderId="2" applyAlignment="1" pivotButton="0" quotePrefix="0" xfId="0">
      <alignment horizontal="center" vertical="center"/>
    </xf>
    <xf numFmtId="165" fontId="55" fillId="8" borderId="2" applyAlignment="1" pivotButton="0" quotePrefix="0" xfId="0">
      <alignment horizontal="center" vertical="center"/>
    </xf>
    <xf numFmtId="164" fontId="56" fillId="7" borderId="2" applyAlignment="1" pivotButton="0" quotePrefix="0" xfId="0">
      <alignment horizontal="center" vertical="center"/>
    </xf>
    <xf numFmtId="10" fontId="56" fillId="7" borderId="2" applyAlignment="1" pivotButton="0" quotePrefix="0" xfId="0">
      <alignment horizontal="center" vertical="center"/>
    </xf>
    <xf numFmtId="1" fontId="53" fillId="7" borderId="2" applyAlignment="1" pivotButton="0" quotePrefix="0" xfId="0">
      <alignment horizontal="center" vertical="center"/>
    </xf>
    <xf numFmtId="164" fontId="53" fillId="7" borderId="2" applyAlignment="1" pivotButton="0" quotePrefix="0" xfId="0">
      <alignment horizontal="center" vertical="center"/>
    </xf>
    <xf numFmtId="164" fontId="56" fillId="8" borderId="2" applyAlignment="1" pivotButton="0" quotePrefix="0" xfId="0">
      <alignment horizontal="center" vertical="center"/>
    </xf>
    <xf numFmtId="10" fontId="56" fillId="8" borderId="2" applyAlignment="1" pivotButton="0" quotePrefix="0" xfId="0">
      <alignment horizontal="center" vertical="center"/>
    </xf>
    <xf numFmtId="1" fontId="53" fillId="8" borderId="2" applyAlignment="1" pivotButton="0" quotePrefix="0" xfId="0">
      <alignment horizontal="center" vertical="center"/>
    </xf>
    <xf numFmtId="164" fontId="53" fillId="8" borderId="2" applyAlignment="1" pivotButton="0" quotePrefix="0" xfId="0">
      <alignment horizontal="center" vertical="center"/>
    </xf>
    <xf numFmtId="10" fontId="56" fillId="0" borderId="2" applyAlignment="1" pivotButton="0" quotePrefix="0" xfId="0">
      <alignment horizontal="center" vertical="center"/>
    </xf>
    <xf numFmtId="1" fontId="53" fillId="0" borderId="2" applyAlignment="1" pivotButton="0" quotePrefix="0" xfId="0">
      <alignment horizontal="center" vertical="center"/>
    </xf>
    <xf numFmtId="1" fontId="59" fillId="0" borderId="0" applyAlignment="1" pivotButton="0" quotePrefix="0" xfId="0">
      <alignment horizontal="center" vertical="center"/>
    </xf>
    <xf numFmtId="164" fontId="60" fillId="0" borderId="2" applyAlignment="1" pivotButton="0" quotePrefix="0" xfId="0">
      <alignment horizontal="center" vertical="center"/>
    </xf>
    <xf numFmtId="164" fontId="61" fillId="6" borderId="2" applyAlignment="1" pivotButton="0" quotePrefix="0" xfId="0">
      <alignment horizontal="center" vertical="center"/>
    </xf>
    <xf numFmtId="164" fontId="61" fillId="0" borderId="2" applyAlignment="1" pivotButton="0" quotePrefix="0" xfId="0">
      <alignment horizontal="center" vertical="center"/>
    </xf>
    <xf numFmtId="164" fontId="53" fillId="0" borderId="2" applyAlignment="1" pivotButton="0" quotePrefix="0" xfId="0">
      <alignment horizontal="left" vertical="center"/>
    </xf>
    <xf numFmtId="3" fontId="56" fillId="0" borderId="2" applyAlignment="1" pivotButton="0" quotePrefix="0" xfId="0">
      <alignment horizontal="center" vertical="center"/>
    </xf>
    <xf numFmtId="4" fontId="56" fillId="0" borderId="2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7030A0"/>
      <rgbColor rgb="FFFFFDE7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ED7D31"/>
      <rgbColor rgb="FF666699"/>
      <rgbColor rgb="FF999999"/>
      <rgbColor rgb="FF1F3864"/>
      <rgbColor rgb="FF70AD47"/>
      <rgbColor rgb="FF003300"/>
      <rgbColor rgb="FF333300"/>
      <rgbColor rgb="FF993300"/>
      <rgbColor rgb="FFC0504D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F39"/>
  <sheetViews>
    <sheetView showGridLines="0" zoomScaleNormal="100" workbookViewId="0">
      <pane ySplit="3" topLeftCell="A4" activePane="bottomLeft" state="frozen"/>
      <selection pane="bottomLeft" activeCell="D12" sqref="D12:F12"/>
    </sheetView>
  </sheetViews>
  <sheetFormatPr baseColWidth="8" defaultColWidth="8.6640625" defaultRowHeight="14.25"/>
  <cols>
    <col width="3" customWidth="1" style="134" min="1" max="1"/>
    <col width="26" customWidth="1" style="134" min="2" max="2"/>
    <col width="22" customWidth="1" style="134" min="3" max="3"/>
    <col width="24" customWidth="1" style="134" min="4" max="4"/>
    <col width="22" customWidth="1" style="134" min="5" max="5"/>
    <col width="20" customWidth="1" style="134" min="6" max="6"/>
    <col width="3" customWidth="1" style="134" min="7" max="7"/>
  </cols>
  <sheetData>
    <row r="1" ht="36" customHeight="1" s="134">
      <c r="A1" s="139" t="inlineStr">
        <is>
          <t>💼  個人財務管理總表 ── 儀表板</t>
        </is>
      </c>
      <c r="B1" s="136" t="n"/>
      <c r="C1" s="136" t="n"/>
      <c r="D1" s="136" t="n"/>
      <c r="E1" s="136" t="n"/>
      <c r="F1" s="137" t="n"/>
    </row>
    <row r="2" ht="15" customHeight="1" s="134">
      <c r="A2" s="156" t="n"/>
      <c r="B2" s="148" t="inlineStr">
        <is>
          <t>最後更新日期：</t>
        </is>
      </c>
      <c r="C2" s="111" t="inlineStr">
        <is>
          <t>2026-09-18 02:01</t>
        </is>
      </c>
      <c r="D2" s="148" t="inlineStr">
        <is>
          <t>（例如：2026/09/03）</t>
        </is>
      </c>
    </row>
    <row r="3"/>
    <row r="4" ht="21.75" customHeight="1" s="134">
      <c r="A4" s="135" t="inlineStr">
        <is>
          <t>📊 本月收支總覽</t>
        </is>
      </c>
      <c r="B4" s="136" t="n"/>
      <c r="C4" s="136" t="n"/>
      <c r="D4" s="136" t="n"/>
      <c r="E4" s="136" t="n"/>
      <c r="F4" s="137" t="n"/>
    </row>
    <row r="5" ht="15" customHeight="1" s="134">
      <c r="B5" s="3" t="inlineStr">
        <is>
          <t>項目</t>
        </is>
      </c>
      <c r="C5" s="3" t="inlineStr">
        <is>
          <t>金額</t>
        </is>
      </c>
      <c r="D5" s="168" t="inlineStr">
        <is>
          <t>說明</t>
        </is>
      </c>
      <c r="E5" s="141" t="n"/>
      <c r="F5" s="142" t="n"/>
    </row>
    <row r="6" ht="15" customHeight="1" s="134">
      <c r="B6" s="143" t="inlineStr">
        <is>
          <t>月收入合計</t>
        </is>
      </c>
      <c r="C6" s="230">
        <f>收支明細!C12</f>
        <v/>
      </c>
      <c r="D6" s="170" t="inlineStr">
        <is>
          <t>含薪資與基金預估配息</t>
        </is>
      </c>
      <c r="E6" s="141" t="n"/>
      <c r="F6" s="142" t="n"/>
    </row>
    <row r="7" ht="15" customHeight="1" s="134">
      <c r="B7" s="143" t="inlineStr">
        <is>
          <t>月支出合計</t>
        </is>
      </c>
      <c r="C7" s="231">
        <f>收支明細!C32</f>
        <v/>
      </c>
      <c r="D7" s="170" t="inlineStr">
        <is>
          <t>含房貸、生活費、保險等</t>
        </is>
      </c>
      <c r="E7" s="141" t="n"/>
      <c r="F7" s="142" t="n"/>
    </row>
    <row r="8" ht="15" customHeight="1" s="134">
      <c r="B8" s="145" t="inlineStr">
        <is>
          <t>月淨結餘</t>
        </is>
      </c>
      <c r="C8" s="172">
        <f>C6+C7</f>
        <v/>
      </c>
      <c r="D8" s="147" t="n"/>
    </row>
    <row r="9"/>
    <row r="10" ht="21.75" customHeight="1" s="134">
      <c r="A10" s="135" t="inlineStr">
        <is>
          <t>🏦 資產負債總覽</t>
        </is>
      </c>
      <c r="B10" s="136" t="n"/>
      <c r="C10" s="136" t="n"/>
      <c r="D10" s="136" t="n"/>
      <c r="E10" s="136" t="n"/>
      <c r="F10" s="137" t="n"/>
    </row>
    <row r="11" ht="15" customHeight="1" s="134">
      <c r="B11" s="3" t="inlineStr">
        <is>
          <t>項目</t>
        </is>
      </c>
      <c r="C11" s="3" t="inlineStr">
        <is>
          <t>金額</t>
        </is>
      </c>
      <c r="D11" s="168" t="inlineStr">
        <is>
          <t>說明</t>
        </is>
      </c>
      <c r="E11" s="141" t="n"/>
      <c r="F11" s="142" t="n"/>
    </row>
    <row r="12" ht="15" customHeight="1" s="134">
      <c r="B12" s="143" t="inlineStr">
        <is>
          <t>總資產</t>
        </is>
      </c>
      <c r="C12" s="230">
        <f>資產負債表!C14</f>
        <v/>
      </c>
      <c r="D12" s="170" t="inlineStr">
        <is>
          <t>基金市值＋不動產＋股票＋現金</t>
        </is>
      </c>
      <c r="E12" s="141" t="n"/>
      <c r="F12" s="142" t="n"/>
    </row>
    <row r="13" ht="15" customHeight="1" s="134">
      <c r="B13" s="143" t="inlineStr">
        <is>
          <t>總負債</t>
        </is>
      </c>
      <c r="C13" s="232">
        <f>資產負債表!C26</f>
        <v/>
      </c>
      <c r="D13" s="170" t="inlineStr">
        <is>
          <t>各項貸款餘額合計</t>
        </is>
      </c>
      <c r="E13" s="141" t="n"/>
      <c r="F13" s="142" t="n"/>
    </row>
    <row r="14" ht="15" customHeight="1" s="134">
      <c r="B14" s="145" t="inlineStr">
        <is>
          <t>淨值（資產－負債）</t>
        </is>
      </c>
      <c r="C14" s="172">
        <f>C12-C13</f>
        <v/>
      </c>
      <c r="D14" s="147" t="n"/>
    </row>
    <row r="15" ht="15" customHeight="1" s="134">
      <c r="B15" s="143" t="inlineStr">
        <is>
          <t>負債比</t>
        </is>
      </c>
      <c r="C15" s="233">
        <f>C13/C12</f>
        <v/>
      </c>
      <c r="D15" s="170" t="inlineStr">
        <is>
          <t>總負債 ÷ 總資產，越低越健康</t>
        </is>
      </c>
      <c r="E15" s="141" t="n"/>
      <c r="F15" s="142" t="n"/>
    </row>
    <row r="16"/>
    <row r="17" ht="21.75" customHeight="1" s="134">
      <c r="A17" s="135" t="inlineStr">
        <is>
          <t>💰 基金部位總覽</t>
        </is>
      </c>
      <c r="B17" s="136" t="n"/>
      <c r="C17" s="136" t="n"/>
      <c r="D17" s="136" t="n"/>
      <c r="E17" s="136" t="n"/>
      <c r="F17" s="137" t="n"/>
    </row>
    <row r="18" ht="15" customHeight="1" s="134">
      <c r="B18" s="3" t="inlineStr">
        <is>
          <t>項目</t>
        </is>
      </c>
      <c r="C18" s="3" t="inlineStr">
        <is>
          <t>數值</t>
        </is>
      </c>
      <c r="D18" s="168" t="inlineStr">
        <is>
          <t>說明</t>
        </is>
      </c>
      <c r="E18" s="141" t="n"/>
      <c r="F18" s="142" t="n"/>
    </row>
    <row r="19" ht="16.5" customHeight="1" s="134">
      <c r="B19" s="143" t="inlineStr">
        <is>
          <t>總投入成本(台幣)</t>
        </is>
      </c>
      <c r="C19" s="230">
        <f>基金配息紀錄!G13</f>
        <v/>
      </c>
    </row>
    <row r="20" ht="15" customHeight="1" s="134">
      <c r="B20" s="143" t="inlineStr">
        <is>
          <t>總持有單位數</t>
        </is>
      </c>
      <c r="C20" s="234">
        <f>基金配息紀錄!H13</f>
        <v/>
      </c>
    </row>
    <row r="21" ht="16.5" customHeight="1" s="134">
      <c r="B21" s="143" t="inlineStr">
        <is>
          <t>加權平均成本(NAV/USD)</t>
        </is>
      </c>
      <c r="C21" s="235">
        <f>基金配息紀錄!I13</f>
        <v/>
      </c>
    </row>
    <row r="22" ht="16.5" customHeight="1" s="134">
      <c r="B22" s="143" t="inlineStr">
        <is>
          <t>近12個月平均年化報酬率</t>
        </is>
      </c>
      <c r="C22" s="236">
        <f>基金配息紀錄!L54</f>
        <v/>
      </c>
      <c r="D22" s="170" t="inlineStr">
        <is>
          <t>以實際配息回推之年化率</t>
        </is>
      </c>
      <c r="E22" s="141" t="n"/>
      <c r="F22" s="142" t="n"/>
    </row>
    <row r="23"/>
    <row r="24" ht="21.75" customHeight="1" s="134">
      <c r="A24" s="135" t="inlineStr">
        <is>
          <t>⚠️ 財務警示</t>
        </is>
      </c>
      <c r="B24" s="136" t="n"/>
      <c r="C24" s="136" t="n"/>
      <c r="D24" s="136" t="n"/>
      <c r="E24" s="136" t="n"/>
      <c r="F24" s="137" t="n"/>
    </row>
    <row r="25" ht="15" customHeight="1" s="134">
      <c r="B25" s="177">
        <f>IF(C8&lt;0,"🔴 本月收支呈現赤字，請檢視支出","✅ 本月收支為正")</f>
        <v/>
      </c>
      <c r="C25" s="141" t="n"/>
      <c r="D25" s="141" t="n"/>
      <c r="E25" s="141" t="n"/>
      <c r="F25" s="142" t="n"/>
    </row>
    <row r="26" ht="16.5" customHeight="1" s="134">
      <c r="B26" s="178">
        <f>IF(C8&lt;20000,"⚠️ 淨結餘緩衝空間偏低（低於2萬）","✅ 淨結餘緩衝空間尚可")</f>
        <v/>
      </c>
      <c r="C26" s="141" t="n"/>
      <c r="D26" s="141" t="n"/>
      <c r="E26" s="141" t="n"/>
      <c r="F26" s="142" t="n"/>
    </row>
    <row r="27" ht="15" customHeight="1" s="134">
      <c r="B27" s="178">
        <f>IF(C14&lt;0,"🔴 淨值為負，資不抵債","✅ 淨值為正")</f>
        <v/>
      </c>
      <c r="C27" s="141" t="n"/>
      <c r="D27" s="141" t="n"/>
      <c r="E27" s="141" t="n"/>
      <c r="F27" s="142" t="n"/>
    </row>
    <row r="28"/>
    <row r="29" ht="21.75" customHeight="1" s="134">
      <c r="A29" s="135" t="inlineStr">
        <is>
          <t>📖 使用說明 / 色彩圖例</t>
        </is>
      </c>
      <c r="B29" s="136" t="n"/>
      <c r="C29" s="136" t="n"/>
      <c r="D29" s="136" t="n"/>
      <c r="E29" s="136" t="n"/>
      <c r="F29" s="137" t="n"/>
    </row>
    <row r="30" ht="15.75" customHeight="1" s="134">
      <c r="B30" s="138" t="inlineStr">
        <is>
          <t>藍字＝原始輸入資料（金額、日期、利率等事實）；黑字＝同分頁自動計算公式；綠字＝跨分頁連結公式（不要手動修改）</t>
        </is>
      </c>
    </row>
    <row r="31" ht="15.75" customHeight="1" s="134">
      <c r="B31" s="138" t="inlineStr">
        <is>
          <t>黃底＝關鍵假設或需要每月更新的欄位（如基金配息率、最新NAV、匯率）</t>
        </is>
      </c>
    </row>
    <row r="32" ht="15.75" customHeight="1" s="134">
      <c r="B32" s="138" t="inlineStr">
        <is>
          <t>「收支明細」「貸款總覽」「基金配息紀錄」「股票投資」「信用卡年支出」為明細分頁，「資產負債表」彙總淨值</t>
        </is>
      </c>
    </row>
    <row r="33" ht="15.75" customHeight="1" s="134">
      <c r="B33" s="138" t="inlineStr">
        <is>
          <t>每月更新建議順序：① 基金配息紀錄 新增當月配息 ② 資產負債表 更新NAV/不動產估值/貸款餘額 ③ 回到本頁確認儀表板數字</t>
        </is>
      </c>
    </row>
    <row r="34"/>
    <row r="35">
      <c r="A35" s="146" t="inlineStr">
        <is>
          <t>🔄 自動更新狀態</t>
        </is>
      </c>
    </row>
    <row r="36" ht="30" customHeight="1" s="134">
      <c r="B36" s="112" t="inlineStr">
        <is>
          <t>最後自動更新時間</t>
        </is>
      </c>
      <c r="C36" s="144">
        <f>資產負債表!C39</f>
        <v/>
      </c>
    </row>
    <row r="37" ht="30" customHeight="1" s="134">
      <c r="B37" s="112" t="inlineStr">
        <is>
          <t>資料來源</t>
        </is>
      </c>
      <c r="C37" s="224">
        <f>資產負債表!C40</f>
        <v/>
      </c>
    </row>
    <row r="38"/>
    <row r="39">
      <c r="A39" s="118" t="n"/>
      <c r="B39" s="118" t="n"/>
      <c r="C39" s="118" t="n"/>
      <c r="D39" s="118" t="n"/>
      <c r="E39" s="118" t="n"/>
      <c r="F39" s="118" t="n"/>
    </row>
  </sheetData>
  <mergeCells count="28">
    <mergeCell ref="D2:F2"/>
    <mergeCell ref="D13:F13"/>
    <mergeCell ref="D11:F11"/>
    <mergeCell ref="B25:F25"/>
    <mergeCell ref="B31:F31"/>
    <mergeCell ref="D7:F7"/>
    <mergeCell ref="B27:F27"/>
    <mergeCell ref="C36:E36"/>
    <mergeCell ref="D12:F12"/>
    <mergeCell ref="D18:F18"/>
    <mergeCell ref="A17:F17"/>
    <mergeCell ref="A35:F35"/>
    <mergeCell ref="A4:F4"/>
    <mergeCell ref="D8:F8"/>
    <mergeCell ref="D15:F15"/>
    <mergeCell ref="A29:F29"/>
    <mergeCell ref="A10:F10"/>
    <mergeCell ref="D14:F14"/>
    <mergeCell ref="D5:F5"/>
    <mergeCell ref="C37:E37"/>
    <mergeCell ref="A24:F24"/>
    <mergeCell ref="B30:F30"/>
    <mergeCell ref="B33:F33"/>
    <mergeCell ref="A1:F1"/>
    <mergeCell ref="D22:F22"/>
    <mergeCell ref="B32:F32"/>
    <mergeCell ref="D6:F6"/>
    <mergeCell ref="B26:F26"/>
  </mergeCells>
  <printOptions horizontalCentered="1"/>
  <pageMargins left="0.4" right="0.4" top="0.5" bottom="0.5" header="0.511811023622047" footer="0.511811023622047"/>
  <pageSetup orientation="portrait" paperSize="9" fitToHeight="0" horizontalDpi="300" verticalDpi="300"/>
</worksheet>
</file>

<file path=xl/worksheets/sheet2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D41"/>
  <sheetViews>
    <sheetView showGridLines="0" zoomScaleNormal="100" workbookViewId="0">
      <pane ySplit="8" topLeftCell="A9" activePane="bottomLeft" state="frozen"/>
      <selection pane="bottomLeft" activeCell="K15" sqref="K15"/>
    </sheetView>
  </sheetViews>
  <sheetFormatPr baseColWidth="8" defaultColWidth="8.6640625" defaultRowHeight="14.25"/>
  <cols>
    <col width="6" customWidth="1" style="134" min="1" max="1"/>
    <col width="28" customWidth="1" style="134" min="2" max="2"/>
    <col width="16" customWidth="1" style="134" min="3" max="3"/>
    <col width="44" customWidth="1" style="134" min="4" max="4"/>
  </cols>
  <sheetData>
    <row r="1" ht="31.5" customHeight="1" s="134">
      <c r="A1" s="153" t="inlineStr">
        <is>
          <t>⚖️  資產負債表</t>
        </is>
      </c>
      <c r="B1" s="136" t="n"/>
      <c r="C1" s="136" t="n"/>
      <c r="D1" s="137" t="n"/>
    </row>
    <row r="2"/>
    <row r="3" ht="21.75" customHeight="1" s="134">
      <c r="A3" s="135" t="inlineStr">
        <is>
          <t>⚙️ 市值假設（請每次更新時填寫）</t>
        </is>
      </c>
      <c r="B3" s="136" t="n"/>
      <c r="C3" s="136" t="n"/>
      <c r="D3" s="137" t="n"/>
    </row>
    <row r="4" ht="16.5" customHeight="1" s="134">
      <c r="A4" s="156" t="n"/>
      <c r="B4" s="159" t="inlineStr">
        <is>
          <t>基金最新淨值(NAV,USD)</t>
        </is>
      </c>
      <c r="C4" s="237" t="n">
        <v>73.29000000000001</v>
      </c>
      <c r="D4" s="166" t="inlineStr">
        <is>
          <t>請查詢基富通/鉅亨網最新淨值</t>
        </is>
      </c>
    </row>
    <row r="5" ht="16.5" customHeight="1" s="134">
      <c r="A5" s="156" t="n"/>
      <c r="B5" s="159" t="inlineStr">
        <is>
          <t>目前匯率(USD/TWD)</t>
        </is>
      </c>
      <c r="C5" s="238" t="n">
        <v>31.864</v>
      </c>
      <c r="D5" s="166" t="inlineStr">
        <is>
          <t>請查詢即期匯率</t>
        </is>
      </c>
    </row>
    <row r="6"/>
    <row r="7" ht="21.75" customHeight="1" s="134">
      <c r="A7" s="135" t="inlineStr">
        <is>
          <t>🏦 資產（計入個人淨值）</t>
        </is>
      </c>
      <c r="B7" s="136" t="n"/>
      <c r="C7" s="136" t="n"/>
      <c r="D7" s="137" t="n"/>
    </row>
    <row r="8" ht="15" customHeight="1" s="134">
      <c r="A8" s="155" t="n"/>
      <c r="B8" s="145" t="inlineStr">
        <is>
          <t>項目</t>
        </is>
      </c>
      <c r="C8" s="3" t="inlineStr">
        <is>
          <t>金額</t>
        </is>
      </c>
      <c r="D8" s="145" t="inlineStr">
        <is>
          <t>說明</t>
        </is>
      </c>
    </row>
    <row r="9" ht="15" customHeight="1" s="134">
      <c r="A9" s="17" t="n">
        <v>1</v>
      </c>
      <c r="B9" s="143" t="inlineStr">
        <is>
          <t>基金市值</t>
        </is>
      </c>
      <c r="C9" s="230">
        <f>基金配息紀錄!H13*C4*C5</f>
        <v/>
      </c>
      <c r="D9" s="140" t="inlineStr">
        <is>
          <t>＝總單位數×最新NAV×匯率</t>
        </is>
      </c>
    </row>
    <row r="10" ht="15" customHeight="1" s="134">
      <c r="A10" s="17" t="n">
        <v>2</v>
      </c>
      <c r="B10" s="20" t="inlineStr">
        <is>
          <t>北區不動產估值</t>
        </is>
      </c>
      <c r="C10" s="239" t="n">
        <v>21050000</v>
      </c>
      <c r="D10" s="22" t="inlineStr">
        <is>
          <t>市場估值，全額歸屬本人</t>
        </is>
      </c>
    </row>
    <row r="11" ht="15" customHeight="1" s="134">
      <c r="A11" s="17" t="n">
        <v>3</v>
      </c>
      <c r="B11" s="23" t="inlineStr">
        <is>
          <t>東區不動產估值</t>
        </is>
      </c>
      <c r="C11" s="239" t="n">
        <v>7481250</v>
      </c>
      <c r="D11" s="26" t="inlineStr">
        <is>
          <t>與弟弟共有各半，此為本人份額</t>
        </is>
      </c>
    </row>
    <row r="12" ht="32" customHeight="1" s="134">
      <c r="A12" s="17" t="n">
        <v>4</v>
      </c>
      <c r="B12" s="106" t="inlineStr">
        <is>
          <t>股票市值(0050/0052/摩根新興科技基金等)</t>
        </is>
      </c>
      <c r="C12" s="239" t="n">
        <v>2108034</v>
      </c>
      <c r="D12" s="120" t="inlineStr">
        <is>
          <t>＝0050/0052/摩根新興科技基金市值加總（每日自動更新，明細見「股票部位」分頁）</t>
        </is>
      </c>
    </row>
    <row r="13" ht="15" customHeight="1" s="134">
      <c r="A13" s="17" t="n">
        <v>5</v>
      </c>
      <c r="B13" s="143" t="inlineStr">
        <is>
          <t>現金／存款</t>
        </is>
      </c>
      <c r="C13" s="239" t="n">
        <v>0</v>
      </c>
      <c r="D13" s="140" t="inlineStr">
        <is>
          <t>請填入銀行帳戶餘額</t>
        </is>
      </c>
    </row>
    <row r="14" ht="15" customHeight="1" s="134">
      <c r="A14" s="168" t="inlineStr">
        <is>
          <t>總資產</t>
        </is>
      </c>
      <c r="B14" s="142" t="n"/>
      <c r="C14" s="172">
        <f>SUM(C9:C13)</f>
        <v/>
      </c>
      <c r="D14" s="155" t="n"/>
    </row>
    <row r="15" ht="15" customHeight="1" s="134">
      <c r="A15" s="182" t="inlineStr">
        <is>
          <t>（備忘）家妍投資剩餘部位</t>
        </is>
      </c>
      <c r="B15" s="142" t="n"/>
      <c r="C15" s="240">
        <f>股票投資!C24</f>
        <v/>
      </c>
      <c r="D15" s="161" t="inlineStr">
        <is>
          <t>投機性個股，屬家妍個人資產，不計入淨值</t>
        </is>
      </c>
    </row>
    <row r="16"/>
    <row r="17" ht="21.75" customHeight="1" s="134">
      <c r="A17" s="135" t="inlineStr">
        <is>
          <t>📉 負債</t>
        </is>
      </c>
      <c r="B17" s="136" t="n"/>
      <c r="C17" s="136" t="n"/>
      <c r="D17" s="137" t="n"/>
    </row>
    <row r="18" ht="15" customHeight="1" s="134">
      <c r="A18" s="155" t="n"/>
      <c r="B18" s="145" t="inlineStr">
        <is>
          <t>項目</t>
        </is>
      </c>
      <c r="C18" s="3" t="inlineStr">
        <is>
          <t>金額</t>
        </is>
      </c>
      <c r="D18" s="145" t="inlineStr">
        <is>
          <t>說明</t>
        </is>
      </c>
    </row>
    <row r="19" ht="15" customHeight="1" s="134">
      <c r="A19" s="30" t="n">
        <v>1</v>
      </c>
      <c r="B19" s="20" t="inlineStr">
        <is>
          <t>北區原房貸餘額</t>
        </is>
      </c>
      <c r="C19" s="241">
        <f>貸款總覽!L5</f>
        <v/>
      </c>
      <c r="D19" s="22" t="inlineStr">
        <is>
          <t>理論剩餘本金＝依起始日期與已繳期數攤還試算</t>
        </is>
      </c>
    </row>
    <row r="20" ht="15" customHeight="1" s="134">
      <c r="A20" s="30" t="n">
        <v>2</v>
      </c>
      <c r="B20" s="20" t="inlineStr">
        <is>
          <t>北區理財型房貸餘額</t>
        </is>
      </c>
      <c r="C20" s="241">
        <f>貸款總覽!L6</f>
        <v/>
      </c>
      <c r="D20" s="22" t="inlineStr">
        <is>
          <t>理論剩餘本金＝依起始日期與已繳期數攤還試算</t>
        </is>
      </c>
    </row>
    <row r="21" ht="15" customHeight="1" s="134">
      <c r="A21" s="39" t="n">
        <v>3</v>
      </c>
      <c r="B21" s="23" t="inlineStr">
        <is>
          <t>東區房貸餘額</t>
        </is>
      </c>
      <c r="C21" s="242">
        <f>貸款總覽!L7</f>
        <v/>
      </c>
      <c r="D21" s="26" t="inlineStr">
        <is>
          <t>理論剩餘本金＝依起始日期與已繳期數攤還試算</t>
        </is>
      </c>
    </row>
    <row r="22" ht="15" customHeight="1" s="134">
      <c r="A22" s="17" t="n">
        <v>4</v>
      </c>
      <c r="B22" s="143" t="inlineStr">
        <is>
          <t>車貸餘額</t>
        </is>
      </c>
      <c r="C22" s="232">
        <f>貸款總覽!L8</f>
        <v/>
      </c>
      <c r="D22" s="140" t="inlineStr">
        <is>
          <t>理論剩餘本金＝依起始日期與已繳期數攤還試算</t>
        </is>
      </c>
    </row>
    <row r="23" ht="15" customHeight="1" s="134">
      <c r="A23" s="17" t="n">
        <v>5</v>
      </c>
      <c r="B23" s="143" t="inlineStr">
        <is>
          <t>信貸餘額</t>
        </is>
      </c>
      <c r="C23" s="232">
        <f>貸款總覽!L9</f>
        <v/>
      </c>
      <c r="D23" s="140" t="inlineStr">
        <is>
          <t>理論剩餘本金＝依起始日期與已繳期數攤還試算</t>
        </is>
      </c>
    </row>
    <row r="24" ht="15" customHeight="1" s="134">
      <c r="A24" s="30" t="n">
        <v>6</v>
      </c>
      <c r="B24" s="20" t="inlineStr">
        <is>
          <t>北區房貸壽險剩餘保費</t>
        </is>
      </c>
      <c r="C24" s="241">
        <f>貸款總覽!L14</f>
        <v/>
      </c>
      <c r="D24" s="22" t="inlineStr">
        <is>
          <t>剩餘保費＝直線攤還法，依已繳期數遞減</t>
        </is>
      </c>
    </row>
    <row r="25" ht="15" customHeight="1" s="134">
      <c r="A25" s="39" t="n">
        <v>7</v>
      </c>
      <c r="B25" s="23" t="inlineStr">
        <is>
          <t>東區房貸壽險剩餘保費</t>
        </is>
      </c>
      <c r="C25" s="242">
        <f>貸款總覽!L15</f>
        <v/>
      </c>
      <c r="D25" s="26" t="inlineStr">
        <is>
          <t>剩餘保費＝直線攤還法，依已繳期數遞減</t>
        </is>
      </c>
    </row>
    <row r="26" ht="15" customHeight="1" s="134">
      <c r="A26" s="168" t="inlineStr">
        <is>
          <t>總負債</t>
        </is>
      </c>
      <c r="B26" s="142" t="n"/>
      <c r="C26" s="186">
        <f>SUM(C19:C25)</f>
        <v/>
      </c>
      <c r="D26" s="155" t="n"/>
    </row>
    <row r="27"/>
    <row r="28" ht="21.75" customHeight="1" s="134">
      <c r="A28" s="135" t="inlineStr">
        <is>
          <t>🧾 淨值</t>
        </is>
      </c>
      <c r="B28" s="136" t="n"/>
      <c r="C28" s="136" t="n"/>
      <c r="D28" s="137" t="n"/>
    </row>
    <row r="29" ht="15" customHeight="1" s="134">
      <c r="A29" s="168" t="inlineStr">
        <is>
          <t>淨值（資產－負債）</t>
        </is>
      </c>
      <c r="B29" s="142" t="n"/>
      <c r="C29" s="172">
        <f>C14-C26</f>
        <v/>
      </c>
      <c r="D29" s="155" t="n"/>
    </row>
    <row r="30" ht="15" customHeight="1" s="134">
      <c r="A30" s="178" t="inlineStr">
        <is>
          <t>負債比</t>
        </is>
      </c>
      <c r="B30" s="142" t="n"/>
      <c r="C30" s="233">
        <f>C26/C14</f>
        <v/>
      </c>
      <c r="D30" s="140" t="inlineStr">
        <is>
          <t>總負債÷總資產</t>
        </is>
      </c>
    </row>
    <row r="31" ht="16.5" customHeight="1" s="134">
      <c r="A31" s="178" t="inlineStr">
        <is>
          <t>基金未實現損益(USD)</t>
        </is>
      </c>
      <c r="B31" s="142" t="n"/>
      <c r="C31" s="243">
        <f>(基金配息紀錄!H13*(C4-基金配息紀錄!I13))</f>
        <v/>
      </c>
      <c r="D31" s="140" t="inlineStr">
        <is>
          <t>＝總單位數×(最新NAV－加權平均成本)</t>
        </is>
      </c>
    </row>
    <row r="32"/>
    <row r="33" ht="21.75" customHeight="1" s="134">
      <c r="A33" s="135" t="inlineStr">
        <is>
          <t>💡 使用說明</t>
        </is>
      </c>
      <c r="B33" s="136" t="n"/>
      <c r="C33" s="136" t="n"/>
      <c r="D33" s="137" t="n"/>
    </row>
    <row r="34" ht="27.75" customHeight="1" s="134">
      <c r="B34" s="138" t="inlineStr">
        <is>
          <t>每次更新：① 上方填入基金最新NAV與匯率 ② 填入不動產估值、股票市值、現金餘額(黃底) ③ 負債已自動引用「貸款總覽」理論剩餘本金（依起始日期與已繳期數試算）。</t>
        </is>
      </c>
    </row>
    <row r="35" ht="27.75" customHeight="1" s="134">
      <c r="B35" s="138" t="inlineStr">
        <is>
          <t>若「貸款總覽」尚未填起始日期，該筆負債暫以原始貸款金額計算；填入起始日期後，餘額會隨已繳期數自動遞減。</t>
        </is>
      </c>
    </row>
    <row r="36" ht="27.75" customHeight="1" s="134">
      <c r="B36" s="138" t="inlineStr">
        <is>
          <t>本表淨值與儀表板同步顯示，是判斷整體財務健康度的核心指標。</t>
        </is>
      </c>
    </row>
    <row r="37"/>
    <row r="38">
      <c r="A38" s="146" t="inlineStr">
        <is>
          <t>🔄 淨值／匯率自動更新狀態</t>
        </is>
      </c>
    </row>
    <row r="39" ht="28.05" customHeight="1" s="134">
      <c r="B39" s="112" t="inlineStr">
        <is>
          <t>最後自動更新時間</t>
        </is>
      </c>
      <c r="C39" s="152" t="inlineStr">
        <is>
          <t>2026-09-18 02:01</t>
        </is>
      </c>
    </row>
    <row r="40" ht="28.05" customHeight="1" s="134">
      <c r="B40" s="112" t="inlineStr">
        <is>
          <t>資料來源</t>
        </is>
      </c>
      <c r="C40" s="152" t="inlineStr">
        <is>
          <t>MoneyDJ（基金淨值）／Frankfurter歐洲央行參考匯率(備援)（USD/TWD匯率）</t>
        </is>
      </c>
    </row>
    <row r="41" ht="28.05" customHeight="1" s="134">
      <c r="B41" s="112" t="inlineStr">
        <is>
          <t>更新方式</t>
        </is>
      </c>
      <c r="C41" s="152" t="inlineStr">
        <is>
          <t>每日自動（也可手動覆寫上方 NAV／匯率）</t>
        </is>
      </c>
    </row>
  </sheetData>
  <mergeCells count="19">
    <mergeCell ref="A17:D17"/>
    <mergeCell ref="A30:B30"/>
    <mergeCell ref="A15:B15"/>
    <mergeCell ref="A38:D38"/>
    <mergeCell ref="A28:D28"/>
    <mergeCell ref="B34:D34"/>
    <mergeCell ref="C41:D41"/>
    <mergeCell ref="C40:D40"/>
    <mergeCell ref="A1:D1"/>
    <mergeCell ref="A26:B26"/>
    <mergeCell ref="B36:D36"/>
    <mergeCell ref="B35:D35"/>
    <mergeCell ref="A7:D7"/>
    <mergeCell ref="A14:B14"/>
    <mergeCell ref="C39:D39"/>
    <mergeCell ref="A29:B29"/>
    <mergeCell ref="A3:D3"/>
    <mergeCell ref="A33:D33"/>
    <mergeCell ref="A31:B31"/>
  </mergeCells>
  <printOptions horizontalCentered="1"/>
  <pageMargins left="0.4" right="0.4" top="0.5" bottom="0.5" header="0.511811023622047" footer="0.511811023622047"/>
  <pageSetup orientation="portrait" paperSize="9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:H1"/>
    </sheetView>
  </sheetViews>
  <sheetFormatPr baseColWidth="8" defaultRowHeight="14.25"/>
  <cols>
    <col width="12" customWidth="1" style="134" min="1" max="1"/>
    <col width="14" customWidth="1" style="134" min="2" max="2"/>
    <col width="13" customWidth="1" style="134" min="3" max="3"/>
    <col width="18" customWidth="1" style="134" min="4" max="4"/>
    <col width="13" customWidth="1" style="134" min="5" max="6"/>
    <col width="13" customWidth="1" style="134" min="6" max="6"/>
    <col width="16" customWidth="1" style="134" min="7" max="7"/>
    <col width="36" customWidth="1" style="134" min="8" max="8"/>
  </cols>
  <sheetData>
    <row r="1" ht="26" customHeight="1" s="134">
      <c r="A1" s="151" t="inlineStr">
        <is>
          <t>📈  淨值歷史（每日自動追蹤）</t>
        </is>
      </c>
    </row>
    <row r="2" ht="34.05" customHeight="1" s="134">
      <c r="A2" s="150" t="inlineStr">
        <is>
          <t>此分頁由「每日淨值自動更新」流程負責寫入，記錄每天的基金淨值、匯率與資產負債快照，供儀表板繪製走勢圖。你不需要手動填寫這裡。</t>
        </is>
      </c>
    </row>
    <row r="3"/>
    <row r="4">
      <c r="A4" s="113" t="inlineStr">
        <is>
          <t>日期</t>
        </is>
      </c>
      <c r="B4" s="113" t="inlineStr">
        <is>
          <t>基金NAV(USD)</t>
        </is>
      </c>
      <c r="C4" s="113" t="inlineStr">
        <is>
          <t>USD/TWD匯率</t>
        </is>
      </c>
      <c r="D4" s="113" t="inlineStr">
        <is>
          <t>基金市值(TWD)</t>
        </is>
      </c>
      <c r="E4" s="113" t="inlineStr">
        <is>
          <t>總資產(TWD)</t>
        </is>
      </c>
      <c r="F4" s="113" t="inlineStr">
        <is>
          <t>總負債(TWD)</t>
        </is>
      </c>
      <c r="G4" s="113" t="inlineStr">
        <is>
          <t>淨值(TWD)</t>
        </is>
      </c>
      <c r="H4" s="113" t="inlineStr">
        <is>
          <t>更新來源</t>
        </is>
      </c>
    </row>
    <row r="5" ht="30" customHeight="1" s="134">
      <c r="A5" s="179" t="n">
        <v>46281</v>
      </c>
      <c r="B5" s="244" t="n">
        <v>73.05</v>
      </c>
      <c r="C5" s="244" t="n">
        <v>31.8</v>
      </c>
      <c r="D5" s="245" t="n">
        <v>18047755.32</v>
      </c>
      <c r="E5" s="245" t="n">
        <v>48579005.32</v>
      </c>
      <c r="F5" s="245" t="n">
        <v>25196830.17</v>
      </c>
      <c r="G5" s="245" t="n">
        <v>23382175.16</v>
      </c>
      <c r="H5" s="225" t="inlineStr">
        <is>
          <t>手動（重新設計當天回填）</t>
        </is>
      </c>
    </row>
    <row r="6" ht="30" customHeight="1" s="134">
      <c r="A6" s="179" t="n">
        <v>46282</v>
      </c>
      <c r="B6" s="244" t="n">
        <v>73.15000000000001</v>
      </c>
      <c r="C6" s="244" t="n">
        <v>31.858</v>
      </c>
      <c r="D6" s="245" t="n">
        <v>18105424</v>
      </c>
      <c r="E6" s="245" t="n">
        <v>48726508</v>
      </c>
      <c r="F6" s="245" t="n">
        <v>25196830</v>
      </c>
      <c r="G6" s="245" t="n">
        <v>23529678</v>
      </c>
      <c r="H6" s="225" t="inlineStr">
        <is>
          <t>MoneyDJ／Frankfurter歐洲央行參考匯率(備援)（每日自動）</t>
        </is>
      </c>
    </row>
    <row r="7" ht="30" customHeight="1" s="134">
      <c r="A7" s="179" t="n">
        <v>46283</v>
      </c>
      <c r="B7" s="244" t="n">
        <v>73.29000000000001</v>
      </c>
      <c r="C7" s="244" t="n">
        <v>31.864</v>
      </c>
      <c r="D7" s="245" t="n">
        <v>18143492</v>
      </c>
      <c r="E7" s="245" t="n">
        <v>48782776</v>
      </c>
      <c r="F7" s="245" t="n">
        <v>25196830</v>
      </c>
      <c r="G7" s="245" t="n">
        <v>23585945</v>
      </c>
      <c r="H7" s="225" t="inlineStr">
        <is>
          <t>MoneyDJ／Frankfurter歐洲央行參考匯率(備援)（每日自動）</t>
        </is>
      </c>
    </row>
    <row r="8">
      <c r="A8" s="117" t="n"/>
      <c r="B8" s="117" t="n"/>
      <c r="C8" s="117" t="n"/>
      <c r="D8" s="117" t="n"/>
      <c r="E8" s="117" t="n"/>
      <c r="F8" s="117" t="n"/>
      <c r="G8" s="117" t="n"/>
      <c r="H8" s="117" t="n"/>
    </row>
    <row r="9">
      <c r="A9" s="117" t="n"/>
      <c r="B9" s="117" t="n"/>
      <c r="C9" s="117" t="n"/>
      <c r="D9" s="117" t="n"/>
      <c r="E9" s="117" t="n"/>
      <c r="F9" s="117" t="n"/>
      <c r="G9" s="117" t="n"/>
      <c r="H9" s="117" t="n"/>
    </row>
    <row r="10">
      <c r="A10" s="117" t="n"/>
      <c r="B10" s="117" t="n"/>
      <c r="C10" s="117" t="n"/>
      <c r="D10" s="117" t="n"/>
      <c r="E10" s="117" t="n"/>
      <c r="F10" s="117" t="n"/>
      <c r="G10" s="117" t="n"/>
      <c r="H10" s="117" t="n"/>
    </row>
    <row r="11">
      <c r="A11" s="117" t="n"/>
      <c r="B11" s="117" t="n"/>
      <c r="C11" s="117" t="n"/>
      <c r="D11" s="117" t="n"/>
      <c r="E11" s="117" t="n"/>
      <c r="F11" s="117" t="n"/>
      <c r="G11" s="117" t="n"/>
      <c r="H11" s="117" t="n"/>
    </row>
    <row r="12">
      <c r="A12" s="117" t="n"/>
      <c r="B12" s="117" t="n"/>
      <c r="C12" s="117" t="n"/>
      <c r="D12" s="117" t="n"/>
      <c r="E12" s="117" t="n"/>
      <c r="F12" s="117" t="n"/>
      <c r="G12" s="117" t="n"/>
      <c r="H12" s="117" t="n"/>
    </row>
    <row r="13">
      <c r="A13" s="117" t="n"/>
      <c r="B13" s="117" t="n"/>
      <c r="C13" s="117" t="n"/>
      <c r="D13" s="117" t="n"/>
      <c r="E13" s="117" t="n"/>
      <c r="F13" s="117" t="n"/>
      <c r="G13" s="117" t="n"/>
      <c r="H13" s="117" t="n"/>
    </row>
    <row r="14">
      <c r="A14" s="117" t="n"/>
      <c r="B14" s="117" t="n"/>
      <c r="C14" s="117" t="n"/>
      <c r="D14" s="117" t="n"/>
      <c r="E14" s="117" t="n"/>
      <c r="F14" s="117" t="n"/>
      <c r="G14" s="117" t="n"/>
      <c r="H14" s="117" t="n"/>
    </row>
    <row r="15">
      <c r="A15" s="117" t="n"/>
      <c r="B15" s="117" t="n"/>
      <c r="C15" s="117" t="n"/>
      <c r="D15" s="117" t="n"/>
      <c r="E15" s="117" t="n"/>
      <c r="F15" s="117" t="n"/>
      <c r="G15" s="117" t="n"/>
      <c r="H15" s="117" t="n"/>
    </row>
    <row r="16">
      <c r="A16" s="117" t="n"/>
      <c r="B16" s="117" t="n"/>
      <c r="C16" s="117" t="n"/>
      <c r="D16" s="117" t="n"/>
      <c r="E16" s="117" t="n"/>
      <c r="F16" s="117" t="n"/>
      <c r="G16" s="117" t="n"/>
      <c r="H16" s="117" t="n"/>
    </row>
    <row r="17">
      <c r="A17" s="117" t="n"/>
      <c r="B17" s="117" t="n"/>
      <c r="C17" s="117" t="n"/>
      <c r="D17" s="117" t="n"/>
      <c r="E17" s="117" t="n"/>
      <c r="F17" s="117" t="n"/>
      <c r="G17" s="117" t="n"/>
      <c r="H17" s="117" t="n"/>
    </row>
    <row r="18">
      <c r="A18" s="117" t="n"/>
      <c r="B18" s="117" t="n"/>
      <c r="C18" s="117" t="n"/>
      <c r="D18" s="117" t="n"/>
      <c r="E18" s="117" t="n"/>
      <c r="F18" s="117" t="n"/>
      <c r="G18" s="117" t="n"/>
      <c r="H18" s="117" t="n"/>
    </row>
    <row r="19">
      <c r="A19" s="117" t="n"/>
      <c r="B19" s="117" t="n"/>
      <c r="C19" s="117" t="n"/>
      <c r="D19" s="117" t="n"/>
      <c r="E19" s="117" t="n"/>
      <c r="F19" s="117" t="n"/>
      <c r="G19" s="117" t="n"/>
      <c r="H19" s="117" t="n"/>
    </row>
    <row r="20">
      <c r="A20" s="117" t="n"/>
      <c r="B20" s="117" t="n"/>
      <c r="C20" s="117" t="n"/>
      <c r="D20" s="117" t="n"/>
      <c r="E20" s="117" t="n"/>
      <c r="F20" s="117" t="n"/>
      <c r="G20" s="117" t="n"/>
      <c r="H20" s="117" t="n"/>
    </row>
    <row r="21">
      <c r="A21" s="117" t="n"/>
      <c r="B21" s="117" t="n"/>
      <c r="C21" s="117" t="n"/>
      <c r="D21" s="117" t="n"/>
      <c r="E21" s="117" t="n"/>
      <c r="F21" s="117" t="n"/>
      <c r="G21" s="117" t="n"/>
      <c r="H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75623"/>
    <outlinePr summaryBelow="1" summaryRight="1"/>
    <pageSetUpPr fitToPage="1"/>
  </sheetPr>
  <dimension ref="A1:E15"/>
  <sheetViews>
    <sheetView showGridLines="0" zoomScaleNormal="100" workbookViewId="0">
      <pane ySplit="8" topLeftCell="A9" activePane="bottomLeft" state="frozen"/>
      <selection pane="bottomLeft" activeCell="D10" sqref="D10"/>
    </sheetView>
  </sheetViews>
  <sheetFormatPr baseColWidth="8" defaultColWidth="8.6640625" defaultRowHeight="14.25"/>
  <cols>
    <col width="10" customWidth="1" style="134" min="1" max="1"/>
    <col width="16" customWidth="1" style="134" min="2" max="4"/>
    <col width="30" customWidth="1" style="134" min="5" max="5"/>
  </cols>
  <sheetData>
    <row r="1" ht="31.5" customHeight="1" s="134">
      <c r="A1" s="153" t="inlineStr">
        <is>
          <t>📅  年度總結（報稅／年度回顧用）</t>
        </is>
      </c>
      <c r="B1" s="136" t="n"/>
      <c r="C1" s="136" t="n"/>
      <c r="D1" s="136" t="n"/>
      <c r="E1" s="137" t="n"/>
    </row>
    <row r="2"/>
    <row r="3" ht="21.75" customHeight="1" s="134">
      <c r="A3" s="135" t="inlineStr">
        <is>
          <t>⚙️ 說明</t>
        </is>
      </c>
      <c r="B3" s="136" t="n"/>
      <c r="C3" s="136" t="n"/>
      <c r="D3" s="136" t="n"/>
      <c r="E3" s="137" t="n"/>
    </row>
    <row r="4" ht="30" customHeight="1" s="134">
      <c r="B4" s="138" t="inlineStr">
        <is>
          <t>本表依年度自動加總「基金配息紀錄」「育兒費」兩分頁的歷史資料，年底或報稅時可直接查閱，不需手動翻找逐月明細。</t>
        </is>
      </c>
    </row>
    <row r="5" ht="30" customHeight="1" s="134">
      <c r="B5" s="138" t="inlineStr">
        <is>
          <t>「淨值成長」目前無法自動計算：系統沒有記錄歷年年末的NAV/匯率快照，只有網頁「淨值趨勢」功能啟用後才會開始累積歷史資料，過去年度無法回溯。</t>
        </is>
      </c>
    </row>
    <row r="6" ht="30" customHeight="1" s="134">
      <c r="B6" s="138" t="inlineStr">
        <is>
          <t>「新增申購金額」以購買日期的民國年份判斷所屬年度；「育兒費支出」為本人負擔金額(教育費+醫療費+保險費)÷2。</t>
        </is>
      </c>
    </row>
    <row r="7"/>
    <row r="8" ht="21.75" customHeight="1" s="134">
      <c r="A8" s="135" t="inlineStr">
        <is>
          <t>年度總覽</t>
        </is>
      </c>
      <c r="B8" s="136" t="n"/>
      <c r="C8" s="136" t="n"/>
      <c r="D8" s="136" t="n"/>
      <c r="E8" s="137" t="n"/>
    </row>
    <row r="9" ht="30" customHeight="1" s="134">
      <c r="A9" s="29" t="inlineStr">
        <is>
          <t>年度</t>
        </is>
      </c>
      <c r="B9" s="29" t="inlineStr">
        <is>
          <t>該年實收配息
(TWD)</t>
        </is>
      </c>
      <c r="C9" s="29" t="inlineStr">
        <is>
          <t>該年新增申購
(TWD)</t>
        </is>
      </c>
      <c r="D9" s="29" t="inlineStr">
        <is>
          <t>該年育兒費支出
(本人負擔,TWD)</t>
        </is>
      </c>
      <c r="E9" s="29" t="inlineStr">
        <is>
          <t>備註</t>
        </is>
      </c>
    </row>
    <row r="10" ht="16.5" customHeight="1" s="134">
      <c r="A10" s="53" t="inlineStr">
        <is>
          <t>113年</t>
        </is>
      </c>
      <c r="B10" s="246">
        <f>SUMIFS(基金配息紀錄!F$20:F$51,基金配息紀錄!M$20:M$51,"113年")</f>
        <v/>
      </c>
      <c r="C10" s="246">
        <f>SUMIFS(基金配息紀錄!F$5:F$13,基金配息紀錄!B$5:B$13,"113/*")</f>
        <v/>
      </c>
      <c r="D10" s="246">
        <f>(SUMIFS(育兒費!$M$12:M$633,育兒費!$K$12:K$633,"113年*",育兒費!$L$12:L$633,"教育費")+SUMIFS(育兒費!$M$12:M$633,育兒費!$K$12:K$633,"113年*",育兒費!$L$12:L$633,"醫療費")+SUMIFS(育兒費!$M$12:M$633,育兒費!$K$12:K$633,"113年*",育兒費!$L$12:L$633,"保險費"))/2</f>
        <v/>
      </c>
      <c r="E10" s="140" t="n"/>
    </row>
    <row r="11" ht="16.5" customHeight="1" s="134">
      <c r="A11" s="53" t="inlineStr">
        <is>
          <t>114年</t>
        </is>
      </c>
      <c r="B11" s="246">
        <f>SUMIFS(基金配息紀錄!F$20:F$51,基金配息紀錄!M$20:M$51,"114年")</f>
        <v/>
      </c>
      <c r="C11" s="246">
        <f>SUMIFS(基金配息紀錄!F$5:F$13,基金配息紀錄!B$5:B$13,"114/*")</f>
        <v/>
      </c>
      <c r="D11" s="246">
        <f>(SUMIFS(育兒費!$M$12:M$633,育兒費!$K$12:K$633,"114年*",育兒費!$L$12:L$633,"教育費")+SUMIFS(育兒費!$M$12:M$633,育兒費!$K$12:K$633,"114年*",育兒費!$L$12:L$633,"醫療費")+SUMIFS(育兒費!$M$12:M$633,育兒費!$K$12:K$633,"114年*",育兒費!$L$12:L$633,"保險費"))/2</f>
        <v/>
      </c>
      <c r="E11" s="140" t="n"/>
    </row>
    <row r="12" ht="16.5" customHeight="1" s="134">
      <c r="A12" s="53" t="inlineStr">
        <is>
          <t>115年</t>
        </is>
      </c>
      <c r="B12" s="246">
        <f>SUMIFS(基金配息紀錄!F$20:F$51,基金配息紀錄!M$20:M$51,"115年")</f>
        <v/>
      </c>
      <c r="C12" s="246">
        <f>SUMIFS(基金配息紀錄!F$5:F$13,基金配息紀錄!B$5:B$13,"115/*")</f>
        <v/>
      </c>
      <c r="D12" s="246">
        <f>(SUMIFS(育兒費!$M$12:M$633,育兒費!$K$12:K$633,"115年*",育兒費!$L$12:L$633,"教育費")+SUMIFS(育兒費!$M$12:M$633,育兒費!$K$12:K$633,"115年*",育兒費!$L$12:L$633,"醫療費")+SUMIFS(育兒費!$M$12:M$633,育兒費!$K$12:K$633,"115年*",育兒費!$L$12:L$633,"保險費"))/2</f>
        <v/>
      </c>
      <c r="E12" s="140" t="n"/>
    </row>
    <row r="13" ht="16.5" customHeight="1" s="134">
      <c r="A13" s="53" t="inlineStr">
        <is>
          <t>116年</t>
        </is>
      </c>
      <c r="B13" s="246">
        <f>SUMIFS(基金配息紀錄!F$20:F$51,基金配息紀錄!M$20:M$51,"116年")</f>
        <v/>
      </c>
      <c r="C13" s="246">
        <f>SUMIFS(基金配息紀錄!F$5:F$13,基金配息紀錄!B$5:B$13,"116/*")</f>
        <v/>
      </c>
      <c r="D13" s="246">
        <f>(SUMIFS(育兒費!$M$12:M$633,育兒費!$K$12:K$633,"116年*",育兒費!$L$12:L$633,"教育費")+SUMIFS(育兒費!$M$12:M$633,育兒費!$K$12:K$633,"116年*",育兒費!$L$12:L$633,"醫療費")+SUMIFS(育兒費!$M$12:M$633,育兒費!$K$12:K$633,"116年*",育兒費!$L$12:L$633,"保險費"))/2</f>
        <v/>
      </c>
      <c r="E13" s="140" t="n"/>
    </row>
    <row r="14" ht="16.5" customHeight="1" s="134">
      <c r="A14" s="53" t="inlineStr">
        <is>
          <t>117年</t>
        </is>
      </c>
      <c r="B14" s="246">
        <f>SUMIFS(基金配息紀錄!F$20:F$51,基金配息紀錄!M$20:M$51,"117年")</f>
        <v/>
      </c>
      <c r="C14" s="246">
        <f>SUMIFS(基金配息紀錄!F$5:F$13,基金配息紀錄!B$5:B$13,"117/*")</f>
        <v/>
      </c>
      <c r="D14" s="246">
        <f>(SUMIFS(育兒費!$M$12:M$633,育兒費!$K$12:K$633,"117年*",育兒費!$L$12:L$633,"教育費")+SUMIFS(育兒費!$M$12:M$633,育兒費!$K$12:K$633,"117年*",育兒費!$L$12:L$633,"醫療費")+SUMIFS(育兒費!$M$12:M$633,育兒費!$K$12:K$633,"117年*",育兒費!$L$12:L$633,"保險費"))/2</f>
        <v/>
      </c>
      <c r="E14" s="140" t="n"/>
    </row>
    <row r="15" ht="15" customHeight="1" s="134">
      <c r="A15" s="3" t="inlineStr">
        <is>
          <t>合計</t>
        </is>
      </c>
      <c r="B15" s="172">
        <f>SUM(B10:B14)</f>
        <v/>
      </c>
      <c r="C15" s="172">
        <f>SUM(C10:C14)</f>
        <v/>
      </c>
      <c r="D15" s="172">
        <f>SUM(D10:D14)</f>
        <v/>
      </c>
      <c r="E15" s="155" t="n"/>
    </row>
  </sheetData>
  <mergeCells count="6">
    <mergeCell ref="B4:E4"/>
    <mergeCell ref="B6:E6"/>
    <mergeCell ref="A1:E1"/>
    <mergeCell ref="B5:E5"/>
    <mergeCell ref="A8:E8"/>
    <mergeCell ref="A3:E3"/>
  </mergeCells>
  <printOptions horizontalCentered="1"/>
  <pageMargins left="0.4" right="0.4" top="0.5" bottom="0.5" header="0.511811023622047" footer="0.511811023622047"/>
  <pageSetup orientation="portrait" paperSize="9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:I1"/>
    </sheetView>
  </sheetViews>
  <sheetFormatPr baseColWidth="8" defaultRowHeight="14.25"/>
  <cols>
    <col width="30" customWidth="1" style="134" min="1" max="1"/>
    <col width="26" customWidth="1" style="134" min="2" max="2"/>
    <col width="12" customWidth="1" style="134" min="3" max="3"/>
    <col width="14" customWidth="1" style="134" min="4" max="8"/>
    <col width="13" customWidth="1" style="134" min="5" max="5"/>
    <col width="13" customWidth="1" style="134" min="6" max="6"/>
    <col width="13" customWidth="1" style="134" min="7" max="7"/>
    <col width="13" customWidth="1" style="134" min="8" max="8"/>
    <col width="30" customWidth="1" style="134" min="9" max="9"/>
  </cols>
  <sheetData>
    <row r="1" ht="31.5" customHeight="1" s="134">
      <c r="A1" s="158" t="inlineStr">
        <is>
          <t>📊 股票／基金部位（本人）</t>
        </is>
      </c>
    </row>
    <row r="2" ht="34.05" customHeight="1" s="134">
      <c r="A2" s="150" t="inlineStr">
        <is>
          <t>本人持有的0050/0052/摩根新興科技證券投資信託基金部位，市值＝持有數量×最新價格，與「股票投資」分頁（家妍個人投機部位，僅計成本）分開追蹤，會計入個人淨值。0050/0052收盤價與摩根新興科技基金淨值每日自動更新（來源：證交所TWSE／MoneyDJ）。</t>
        </is>
      </c>
    </row>
    <row r="3"/>
    <row r="4" ht="30" customHeight="1" s="134">
      <c r="A4" s="123" t="inlineStr">
        <is>
          <t>代號</t>
        </is>
      </c>
      <c r="B4" s="123" t="inlineStr">
        <is>
          <t>名稱</t>
        </is>
      </c>
      <c r="C4" s="123" t="inlineStr">
        <is>
          <t>持有數量</t>
        </is>
      </c>
      <c r="D4" s="123" t="inlineStr">
        <is>
          <t>均價／申購淨值</t>
        </is>
      </c>
      <c r="E4" s="123" t="inlineStr">
        <is>
          <t>最新價格／淨值</t>
        </is>
      </c>
      <c r="F4" s="123" t="inlineStr">
        <is>
          <t>市值</t>
        </is>
      </c>
      <c r="G4" s="123" t="inlineStr">
        <is>
          <t>未實現損益</t>
        </is>
      </c>
      <c r="H4" s="123" t="inlineStr">
        <is>
          <t>價格日期</t>
        </is>
      </c>
      <c r="I4" s="123" t="inlineStr">
        <is>
          <t>資料來源</t>
        </is>
      </c>
    </row>
    <row r="5" ht="27" customHeight="1" s="134">
      <c r="A5" s="124" t="inlineStr">
        <is>
          <t>0050</t>
        </is>
      </c>
      <c r="B5" s="124" t="inlineStr">
        <is>
          <t>元大台灣50</t>
        </is>
      </c>
      <c r="C5" s="247" t="n">
        <v>8000</v>
      </c>
      <c r="D5" s="248" t="n">
        <v>64.92</v>
      </c>
      <c r="E5" s="248" t="n">
        <v>108.05</v>
      </c>
      <c r="F5" s="229" t="n">
        <v>864400</v>
      </c>
      <c r="G5" s="229" t="n">
        <v>345040</v>
      </c>
      <c r="H5" s="128" t="inlineStr">
        <is>
          <t>2026-09-17</t>
        </is>
      </c>
      <c r="I5" s="129" t="inlineStr">
        <is>
          <t>證交所（TWSE）每日收盤價（每日自動）</t>
        </is>
      </c>
    </row>
    <row r="6" ht="27" customHeight="1" s="134">
      <c r="A6" s="124" t="inlineStr">
        <is>
          <t>0052</t>
        </is>
      </c>
      <c r="B6" s="124" t="inlineStr">
        <is>
          <t>富邦科技</t>
        </is>
      </c>
      <c r="C6" s="247" t="n">
        <v>12000</v>
      </c>
      <c r="D6" s="248" t="n">
        <v>35.66</v>
      </c>
      <c r="E6" s="248" t="n">
        <v>62.7</v>
      </c>
      <c r="F6" s="229" t="n">
        <v>752400</v>
      </c>
      <c r="G6" s="229" t="n">
        <v>324480</v>
      </c>
      <c r="H6" s="128" t="inlineStr">
        <is>
          <t>2026-09-17</t>
        </is>
      </c>
      <c r="I6" s="129" t="inlineStr">
        <is>
          <t>證交所（TWSE）每日收盤價（每日自動）</t>
        </is>
      </c>
    </row>
    <row r="7">
      <c r="A7" s="124" t="inlineStr">
        <is>
          <t>摩根新興科技證券投資信託基金</t>
        </is>
      </c>
      <c r="B7" s="124" t="inlineStr">
        <is>
          <t>摩根新興科技基金-一般型</t>
        </is>
      </c>
      <c r="C7" s="247" t="n">
        <v>1091</v>
      </c>
      <c r="D7" s="248" t="n">
        <v>485.79</v>
      </c>
      <c r="E7" s="248" t="n">
        <v>450.26</v>
      </c>
      <c r="F7" s="229" t="n">
        <v>491234</v>
      </c>
      <c r="G7" s="229" t="n">
        <v>-38763</v>
      </c>
      <c r="H7" s="128" t="inlineStr">
        <is>
          <t>2026-09-17</t>
        </is>
      </c>
      <c r="I7" s="129" t="inlineStr">
        <is>
          <t>MoneyDJ 基金淨值（每日自動）</t>
        </is>
      </c>
    </row>
    <row r="8">
      <c r="B8" s="130" t="inlineStr">
        <is>
          <t>小計</t>
        </is>
      </c>
      <c r="F8" s="229">
        <f>SUM(F5:F7)</f>
        <v/>
      </c>
      <c r="G8" s="229">
        <f>SUM(G5:G7)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 fitToPage="1"/>
  </sheetPr>
  <dimension ref="A1:Q59"/>
  <sheetViews>
    <sheetView showGridLines="0" zoomScaleNormal="100" workbookViewId="0">
      <pane ySplit="19" topLeftCell="A32" activePane="bottomLeft" state="frozen"/>
      <selection pane="bottomLeft" activeCell="C36" sqref="C36"/>
    </sheetView>
  </sheetViews>
  <sheetFormatPr baseColWidth="8" defaultColWidth="8.6640625" defaultRowHeight="14.25"/>
  <cols>
    <col width="7" customWidth="1" style="134" min="1" max="1"/>
    <col width="11" customWidth="1" style="134" min="2" max="2"/>
    <col width="13" customWidth="1" style="134" min="3" max="4"/>
    <col width="13" customWidth="1" style="134" min="4" max="4"/>
    <col width="11" customWidth="1" style="134" min="5" max="5"/>
    <col width="13" customWidth="1" style="134" min="6" max="6"/>
    <col width="14" customWidth="1" style="134" min="7" max="7"/>
    <col width="12" customWidth="1" style="134" min="8" max="8"/>
    <col width="11" customWidth="1" style="134" min="9" max="9"/>
    <col width="30" customWidth="1" style="134" min="10" max="10"/>
    <col hidden="1" width="10" customWidth="1" style="134" min="11" max="11"/>
    <col width="13" customWidth="1" style="134" min="12" max="12"/>
    <col hidden="1" width="6" customWidth="1" style="134" min="13" max="13"/>
    <col hidden="1" width="36" customWidth="1" style="134" min="16" max="16"/>
    <col hidden="1" width="8" customWidth="1" style="134" min="17" max="17"/>
  </cols>
  <sheetData>
    <row r="1" ht="31.5" customHeight="1" s="134">
      <c r="A1" s="153" t="inlineStr">
        <is>
          <t>💰  摩根多重收益基金 ── 申購記錄與配息追蹤</t>
        </is>
      </c>
      <c r="B1" s="136" t="n"/>
      <c r="C1" s="136" t="n"/>
      <c r="D1" s="136" t="n"/>
      <c r="E1" s="136" t="n"/>
      <c r="F1" s="136" t="n"/>
      <c r="G1" s="136" t="n"/>
      <c r="H1" s="136" t="n"/>
      <c r="I1" s="136" t="n"/>
      <c r="J1" s="136" t="n"/>
      <c r="K1" s="136" t="n"/>
      <c r="L1" s="137" t="n"/>
    </row>
    <row r="2" ht="15" customHeight="1" s="134">
      <c r="P2" s="50" t="inlineStr">
        <is>
          <t>配息基準日對照表(民國年月-&gt;基準日)</t>
        </is>
      </c>
    </row>
    <row r="3" ht="21.75" customHeight="1" s="134">
      <c r="A3" s="135" t="inlineStr">
        <is>
          <t>申購記錄（成本基礎自動累計，可隨時新增購買）</t>
        </is>
      </c>
      <c r="B3" s="136" t="n"/>
      <c r="C3" s="136" t="n"/>
      <c r="D3" s="136" t="n"/>
      <c r="E3" s="136" t="n"/>
      <c r="F3" s="136" t="n"/>
      <c r="G3" s="136" t="n"/>
      <c r="H3" s="136" t="n"/>
      <c r="I3" s="136" t="n"/>
      <c r="J3" s="136" t="n"/>
      <c r="K3" s="136" t="n"/>
      <c r="L3" s="137" t="n"/>
      <c r="P3" s="50" t="inlineStr">
        <is>
          <t>年月</t>
        </is>
      </c>
      <c r="Q3" s="50" t="inlineStr">
        <is>
          <t>基準日</t>
        </is>
      </c>
    </row>
    <row r="4" ht="31.5" customHeight="1" s="134">
      <c r="A4" s="51" t="inlineStr">
        <is>
          <t>批次</t>
        </is>
      </c>
      <c r="B4" s="51" t="inlineStr">
        <is>
          <t>購買日期</t>
        </is>
      </c>
      <c r="C4" s="51" t="inlineStr">
        <is>
          <t>購買點位
(NAV,USD)</t>
        </is>
      </c>
      <c r="D4" s="51" t="inlineStr">
        <is>
          <t>申購單位數</t>
        </is>
      </c>
      <c r="E4" s="51" t="inlineStr">
        <is>
          <t>購買匯率
(USD/TWD)</t>
        </is>
      </c>
      <c r="F4" s="51" t="inlineStr">
        <is>
          <t>單筆申購金額
(TWD)</t>
        </is>
      </c>
      <c r="G4" s="51" t="inlineStr">
        <is>
          <t>基金共投入資金
(TWD,累計)</t>
        </is>
      </c>
      <c r="H4" s="51" t="inlineStr">
        <is>
          <t>累計單位數
(輔助)</t>
        </is>
      </c>
      <c r="I4" s="51" t="inlineStr">
        <is>
          <t>加權平均成本
(NAV,USD)</t>
        </is>
      </c>
      <c r="J4" s="51" t="inlineStr">
        <is>
          <t>說明</t>
        </is>
      </c>
      <c r="P4" s="52" t="n">
        <v>11501</v>
      </c>
      <c r="Q4" s="52" t="n">
        <v>7</v>
      </c>
    </row>
    <row r="5" ht="27.75" customHeight="1" s="134">
      <c r="A5" s="46" t="n">
        <v>1</v>
      </c>
      <c r="B5" s="53" t="inlineStr">
        <is>
          <t>114/04</t>
        </is>
      </c>
      <c r="C5" s="249" t="n">
        <v>71.447</v>
      </c>
      <c r="D5" s="250" t="n">
        <v>1723.533</v>
      </c>
      <c r="E5" s="251">
        <f>IF(OR(C5="",D5="",F5=""),"",F5/(C5*D5))</f>
        <v/>
      </c>
      <c r="F5" s="252" t="n">
        <v>4000000</v>
      </c>
      <c r="G5" s="246">
        <f>F5</f>
        <v/>
      </c>
      <c r="H5" s="253">
        <f>D5</f>
        <v/>
      </c>
      <c r="I5" s="243">
        <f>IF(H5=0,"",SUMPRODUCT($C$5:C5,$D$5:D5)/H5)</f>
        <v/>
      </c>
      <c r="J5" s="59" t="inlineStr">
        <is>
          <t>400萬初始部位</t>
        </is>
      </c>
      <c r="K5" s="198">
        <f>IF(B5="","",IF(ISNUMBER(FIND("/",B5,FIND("/",B5)+1)),DATE(VALUE(LEFT(B5,FIND("/",B5)-1))+1911,VALUE(MID(B5,FIND("/",B5)+1,2)),VALUE(MID(B5,FIND("/",B5,FIND("/",B5)+1)+1,2))),DATE(VALUE(LEFT(B5,FIND("/",B5)-1))+1911,VALUE(MID(B5,FIND("/",B5)+1,2)),1)))</f>
        <v/>
      </c>
      <c r="P5" s="52" t="n">
        <v>11502</v>
      </c>
      <c r="Q5" s="52" t="n">
        <v>9</v>
      </c>
    </row>
    <row r="6" ht="27.75" customHeight="1" s="134">
      <c r="A6" s="46" t="n">
        <v>2</v>
      </c>
      <c r="B6" s="53" t="inlineStr">
        <is>
          <t>115/04/30</t>
        </is>
      </c>
      <c r="C6" s="249" t="n">
        <v>74.81</v>
      </c>
      <c r="D6" s="250" t="n">
        <v>3498.549</v>
      </c>
      <c r="E6" s="251">
        <f>IF(OR(C6="",D6="",F6=""),"",F6/(C6*D6))</f>
        <v/>
      </c>
      <c r="F6" s="252" t="n">
        <v>8304663</v>
      </c>
      <c r="G6" s="246">
        <f>G5+F6</f>
        <v/>
      </c>
      <c r="H6" s="253">
        <f>H5+D6</f>
        <v/>
      </c>
      <c r="I6" s="243">
        <f>IF(H6=0,"",SUMPRODUCT($C$5:C6,$D$5:D6)/H6)</f>
        <v/>
      </c>
      <c r="J6" s="61" t="inlineStr">
        <is>
          <t>增貸830萬(皇普莊園轉增貸1684萬-原有854萬)</t>
        </is>
      </c>
      <c r="K6" s="198">
        <f>IF(B6="","",IF(ISNUMBER(FIND("/",B6,FIND("/",B6)+1)),DATE(VALUE(LEFT(B6,FIND("/",B6)-1))+1911,VALUE(MID(B6,FIND("/",B6)+1,2)),VALUE(MID(B6,FIND("/",B6,FIND("/",B6)+1)+1,2))),DATE(VALUE(LEFT(B6,FIND("/",B6)-1))+1911,VALUE(MID(B6,FIND("/",B6)+1,2)),1)))</f>
        <v/>
      </c>
      <c r="P6" s="52" t="n">
        <v>11503</v>
      </c>
      <c r="Q6" s="52" t="n">
        <v>9</v>
      </c>
    </row>
    <row r="7" ht="27.75" customHeight="1" s="134">
      <c r="A7" s="46" t="n">
        <v>3</v>
      </c>
      <c r="B7" s="53" t="inlineStr">
        <is>
          <t>115/08/25</t>
        </is>
      </c>
      <c r="C7" s="249" t="n">
        <v>74.63</v>
      </c>
      <c r="D7" s="250" t="n">
        <v>6.295</v>
      </c>
      <c r="E7" s="251">
        <f>IF(OR(C7="",D7="",F7=""),"",F7/(C7*D7))</f>
        <v/>
      </c>
      <c r="F7" s="252" t="n">
        <v>15000</v>
      </c>
      <c r="G7" s="246">
        <f>G6+F7</f>
        <v/>
      </c>
      <c r="H7" s="253">
        <f>H6+D7</f>
        <v/>
      </c>
      <c r="I7" s="243">
        <f>IF(H7=0,"",SUMPRODUCT($C$5:C7,$D$5:D7)/H7)</f>
        <v/>
      </c>
      <c r="J7" s="61" t="inlineStr">
        <is>
          <t>自補現金1.5萬(湊600萬)</t>
        </is>
      </c>
      <c r="K7" s="198">
        <f>IF(B7="","",IF(ISNUMBER(FIND("/",B7,FIND("/",B7)+1)),DATE(VALUE(LEFT(B7,FIND("/",B7)-1))+1911,VALUE(MID(B7,FIND("/",B7)+1,2)),VALUE(MID(B7,FIND("/",B7,FIND("/",B7)+1)+1,2))),DATE(VALUE(LEFT(B7,FIND("/",B7)-1))+1911,VALUE(MID(B7,FIND("/",B7)+1,2)),1)))</f>
        <v/>
      </c>
      <c r="P7" s="52" t="n">
        <v>11504</v>
      </c>
      <c r="Q7" s="52" t="n">
        <v>7</v>
      </c>
    </row>
    <row r="8" ht="27.75" customHeight="1" s="134">
      <c r="A8" s="46" t="n">
        <v>4</v>
      </c>
      <c r="B8" s="53" t="inlineStr">
        <is>
          <t>115/08/27</t>
        </is>
      </c>
      <c r="C8" s="249" t="n">
        <v>74.91</v>
      </c>
      <c r="D8" s="250" t="n">
        <v>2519.381</v>
      </c>
      <c r="E8" s="251">
        <f>IF(OR(C8="",D8="",F8=""),"",F8/(C8*D8))</f>
        <v/>
      </c>
      <c r="F8" s="252" t="n">
        <v>5985000</v>
      </c>
      <c r="G8" s="246">
        <f>G7+F8</f>
        <v/>
      </c>
      <c r="H8" s="253">
        <f>H7+D8</f>
        <v/>
      </c>
      <c r="I8" s="243">
        <f>IF(H8=0,"",SUMPRODUCT($C$5:C8,$D$5:D8)/H8)</f>
        <v/>
      </c>
      <c r="J8" s="61" t="inlineStr">
        <is>
          <t>東區房貸融資598.5萬(涉谷區原屋融貸)</t>
        </is>
      </c>
      <c r="K8" s="198">
        <f>IF(B8="","",IF(ISNUMBER(FIND("/",B8,FIND("/",B8)+1)),DATE(VALUE(LEFT(B8,FIND("/",B8)-1))+1911,VALUE(MID(B8,FIND("/",B8)+1,2)),VALUE(MID(B8,FIND("/",B8,FIND("/",B8)+1)+1,2))),DATE(VALUE(LEFT(B8,FIND("/",B8)-1))+1911,VALUE(MID(B8,FIND("/",B8)+1,2)),1)))</f>
        <v/>
      </c>
      <c r="P8" s="52" t="n">
        <v>11505</v>
      </c>
      <c r="Q8" s="52" t="n">
        <v>7</v>
      </c>
    </row>
    <row r="9" ht="27.75" customHeight="1" s="134">
      <c r="A9" s="46" t="n">
        <v>5</v>
      </c>
      <c r="B9" s="53" t="inlineStr">
        <is>
          <t>115/09/11</t>
        </is>
      </c>
      <c r="C9" s="249" t="n">
        <v>73.56</v>
      </c>
      <c r="D9" s="250" t="n">
        <v>21.434</v>
      </c>
      <c r="E9" s="251">
        <f>IF(OR(C9="",D9="",F9=""),"",F9/(C9*D9))</f>
        <v/>
      </c>
      <c r="F9" s="252" t="n">
        <v>50000</v>
      </c>
      <c r="G9" s="246">
        <f>G8+F9</f>
        <v/>
      </c>
      <c r="H9" s="253">
        <f>H8+D9</f>
        <v/>
      </c>
      <c r="I9" s="243">
        <f>IF(H9=0,"",SUMPRODUCT($C$5:C9,$D$5:D9)/H9)</f>
        <v/>
      </c>
      <c r="J9" s="61" t="inlineStr">
        <is>
          <t>自有儲蓄5萬(券商已確認單位數)</t>
        </is>
      </c>
      <c r="K9" s="198">
        <f>IF(B9="","",IF(ISNUMBER(FIND("/",B9,FIND("/",B9)+1)),DATE(VALUE(LEFT(B9,FIND("/",B9)-1))+1911,VALUE(MID(B9,FIND("/",B9)+1,2)),VALUE(MID(B9,FIND("/",B9,FIND("/",B9)+1)+1,2))),DATE(VALUE(LEFT(B9,FIND("/",B9)-1))+1911,VALUE(MID(B9,FIND("/",B9)+1,2)),1)))</f>
        <v/>
      </c>
      <c r="P9" s="52" t="n">
        <v>11506</v>
      </c>
      <c r="Q9" s="52" t="n">
        <v>8</v>
      </c>
    </row>
    <row r="10" ht="19.5" customHeight="1" s="134">
      <c r="A10" s="62" t="n">
        <v>6</v>
      </c>
      <c r="B10" s="62" t="n"/>
      <c r="C10" s="180" t="n"/>
      <c r="D10" s="199" t="n"/>
      <c r="E10" s="254">
        <f>IF(OR(C10="",D10="",F10=""),"",F10/(C10*D10))</f>
        <v/>
      </c>
      <c r="F10" s="181" t="n"/>
      <c r="G10" s="255">
        <f>G9+F10</f>
        <v/>
      </c>
      <c r="H10" s="256">
        <f>H9+D10</f>
        <v/>
      </c>
      <c r="I10" s="257">
        <f>IF(H10=0,"",SUMPRODUCT($C$5:C10,$D$5:D10)/H10)</f>
        <v/>
      </c>
      <c r="J10" s="70" t="inlineStr">
        <is>
          <t>← 新增購買後，在此列填入購買點位/單位數/金額即可</t>
        </is>
      </c>
      <c r="K10" s="198">
        <f>IF(B10="","",IF(ISNUMBER(FIND("/",B10,FIND("/",B10)+1)),DATE(VALUE(LEFT(B10,FIND("/",B10)-1))+1911,VALUE(MID(B10,FIND("/",B10)+1,2)),VALUE(MID(B10,FIND("/",B10,FIND("/",B10)+1)+1,2))),DATE(VALUE(LEFT(B10,FIND("/",B10)-1))+1911,VALUE(MID(B10,FIND("/",B10)+1,2)),1)))</f>
        <v/>
      </c>
      <c r="P10" s="52" t="n">
        <v>11507</v>
      </c>
      <c r="Q10" s="52" t="n">
        <v>7</v>
      </c>
    </row>
    <row r="11" ht="19.5" customHeight="1" s="134">
      <c r="A11" s="62" t="n">
        <v>7</v>
      </c>
      <c r="B11" s="62" t="n"/>
      <c r="C11" s="180" t="n"/>
      <c r="D11" s="199" t="n"/>
      <c r="E11" s="254">
        <f>IF(OR(C11="",D11="",F11=""),"",F11/(C11*D11))</f>
        <v/>
      </c>
      <c r="F11" s="181" t="n"/>
      <c r="G11" s="255">
        <f>G10+F11</f>
        <v/>
      </c>
      <c r="H11" s="256">
        <f>H10+D11</f>
        <v/>
      </c>
      <c r="I11" s="257">
        <f>IF(H11=0,"",SUMPRODUCT($C$5:C11,$D$5:D11)/H11)</f>
        <v/>
      </c>
      <c r="J11" s="70" t="inlineStr">
        <is>
          <t>← 新增購買後，在此列填入購買點位/單位數/金額即可</t>
        </is>
      </c>
      <c r="K11" s="198">
        <f>IF(B11="","",IF(ISNUMBER(FIND("/",B11,FIND("/",B11)+1)),DATE(VALUE(LEFT(B11,FIND("/",B11)-1))+1911,VALUE(MID(B11,FIND("/",B11)+1,2)),VALUE(MID(B11,FIND("/",B11,FIND("/",B11)+1)+1,2))),DATE(VALUE(LEFT(B11,FIND("/",B11)-1))+1911,VALUE(MID(B11,FIND("/",B11)+1,2)),1)))</f>
        <v/>
      </c>
      <c r="P11" s="52" t="n">
        <v>11508</v>
      </c>
      <c r="Q11" s="52" t="n">
        <v>11</v>
      </c>
    </row>
    <row r="12" ht="19.5" customHeight="1" s="134">
      <c r="A12" s="62" t="n">
        <v>8</v>
      </c>
      <c r="B12" s="62" t="n"/>
      <c r="C12" s="180" t="n"/>
      <c r="D12" s="199" t="n"/>
      <c r="E12" s="254">
        <f>IF(OR(C12="",D12="",F12=""),"",F12/(C12*D12))</f>
        <v/>
      </c>
      <c r="F12" s="181" t="n"/>
      <c r="G12" s="255">
        <f>G11+F12</f>
        <v/>
      </c>
      <c r="H12" s="256">
        <f>H11+D12</f>
        <v/>
      </c>
      <c r="I12" s="257">
        <f>IF(H12=0,"",SUMPRODUCT($C$5:C12,$D$5:D12)/H12)</f>
        <v/>
      </c>
      <c r="J12" s="70" t="inlineStr">
        <is>
          <t>← 新增購買後，在此列填入購買點位/單位數/金額即可</t>
        </is>
      </c>
      <c r="K12" s="198">
        <f>IF(B12="","",IF(ISNUMBER(FIND("/",B12,FIND("/",B12)+1)),DATE(VALUE(LEFT(B12,FIND("/",B12)-1))+1911,VALUE(MID(B12,FIND("/",B12)+1,2)),VALUE(MID(B12,FIND("/",B12,FIND("/",B12)+1)+1,2))),DATE(VALUE(LEFT(B12,FIND("/",B12)-1))+1911,VALUE(MID(B12,FIND("/",B12)+1,2)),1)))</f>
        <v/>
      </c>
      <c r="P12" s="52" t="n">
        <v>11509</v>
      </c>
      <c r="Q12" s="52" t="n">
        <v>8</v>
      </c>
    </row>
    <row r="13" ht="19.5" customHeight="1" s="134">
      <c r="A13" s="62" t="n">
        <v>9</v>
      </c>
      <c r="B13" s="62" t="n"/>
      <c r="C13" s="180" t="n"/>
      <c r="D13" s="199" t="n"/>
      <c r="E13" s="254">
        <f>IF(OR(C13="",D13="",F13=""),"",F13/(C13*D13))</f>
        <v/>
      </c>
      <c r="F13" s="181" t="n"/>
      <c r="G13" s="255">
        <f>G12+F13</f>
        <v/>
      </c>
      <c r="H13" s="256">
        <f>H12+D13</f>
        <v/>
      </c>
      <c r="I13" s="257">
        <f>IF(H13=0,"",SUMPRODUCT($C$5:C13,$D$5:D13)/H13)</f>
        <v/>
      </c>
      <c r="J13" s="70" t="inlineStr">
        <is>
          <t>← 新增購買後，在此列填入購買點位/單位數/金額即可</t>
        </is>
      </c>
      <c r="K13" s="198">
        <f>IF(B13="","",IF(ISNUMBER(FIND("/",B13,FIND("/",B13)+1)),DATE(VALUE(LEFT(B13,FIND("/",B13)-1))+1911,VALUE(MID(B13,FIND("/",B13)+1,2)),VALUE(MID(B13,FIND("/",B13,FIND("/",B13)+1)+1,2))),DATE(VALUE(LEFT(B13,FIND("/",B13)-1))+1911,VALUE(MID(B13,FIND("/",B13)+1,2)),1)))</f>
        <v/>
      </c>
      <c r="P13" s="52" t="n">
        <v>11510</v>
      </c>
      <c r="Q13" s="52" t="n">
        <v>7</v>
      </c>
    </row>
    <row r="14" ht="15" customHeight="1" s="134">
      <c r="P14" s="52" t="n">
        <v>11511</v>
      </c>
      <c r="Q14" s="52" t="n">
        <v>9</v>
      </c>
    </row>
    <row r="15" ht="21.75" customHeight="1" s="134">
      <c r="A15" s="135" t="inlineStr">
        <is>
          <t>目前部位小結</t>
        </is>
      </c>
      <c r="B15" s="136" t="n"/>
      <c r="C15" s="136" t="n"/>
      <c r="D15" s="136" t="n"/>
      <c r="E15" s="136" t="n"/>
      <c r="F15" s="136" t="n"/>
      <c r="G15" s="136" t="n"/>
      <c r="H15" s="136" t="n"/>
      <c r="I15" s="136" t="n"/>
      <c r="J15" s="136" t="n"/>
      <c r="K15" s="136" t="n"/>
      <c r="L15" s="137" t="n"/>
      <c r="P15" s="52" t="n">
        <v>11512</v>
      </c>
      <c r="Q15" s="52" t="n">
        <v>7</v>
      </c>
    </row>
    <row r="16" ht="16.5" customHeight="1" s="134">
      <c r="A16" s="168" t="inlineStr">
        <is>
          <t>總持有單位數</t>
        </is>
      </c>
      <c r="B16" s="141" t="n"/>
      <c r="C16" s="142" t="n"/>
      <c r="D16" s="203">
        <f>H13</f>
        <v/>
      </c>
      <c r="E16" s="168" t="inlineStr">
        <is>
          <t>總投入成本(TWD)</t>
        </is>
      </c>
      <c r="F16" s="142" t="n"/>
      <c r="G16" s="172">
        <f>G13</f>
        <v/>
      </c>
      <c r="H16" s="168" t="inlineStr">
        <is>
          <t>加權平均成本(NAV)</t>
        </is>
      </c>
      <c r="I16" s="142" t="n"/>
      <c r="J16" s="204">
        <f>I13</f>
        <v/>
      </c>
      <c r="K16" s="155" t="n"/>
      <c r="L16" s="155" t="n"/>
    </row>
    <row r="17"/>
    <row r="18" ht="21.75" customHeight="1" s="134">
      <c r="A18" s="135" t="inlineStr">
        <is>
          <t>月配息追蹤紀錄</t>
        </is>
      </c>
      <c r="B18" s="136" t="n"/>
      <c r="C18" s="136" t="n"/>
      <c r="D18" s="136" t="n"/>
      <c r="E18" s="136" t="n"/>
      <c r="F18" s="136" t="n"/>
      <c r="G18" s="136" t="n"/>
      <c r="H18" s="136" t="n"/>
      <c r="I18" s="136" t="n"/>
      <c r="J18" s="136" t="n"/>
      <c r="K18" s="136" t="n"/>
      <c r="L18" s="137" t="n"/>
    </row>
    <row r="19" ht="30" customHeight="1" s="134">
      <c r="A19" s="51" t="inlineStr">
        <is>
          <t>年度</t>
        </is>
      </c>
      <c r="B19" s="51" t="inlineStr">
        <is>
          <t>月份</t>
        </is>
      </c>
      <c r="C19" s="51" t="inlineStr">
        <is>
          <t>每單位配息
(USD)</t>
        </is>
      </c>
      <c r="D19" s="51" t="inlineStr">
        <is>
          <t>持有單位數</t>
        </is>
      </c>
      <c r="E19" s="51" t="inlineStr">
        <is>
          <t>配息(USD)
=C×D</t>
        </is>
      </c>
      <c r="F19" s="51" t="inlineStr">
        <is>
          <t>實收台幣</t>
        </is>
      </c>
      <c r="G19" s="51" t="inlineStr">
        <is>
          <t>隱含匯率
=F÷E</t>
        </is>
      </c>
      <c r="H19" s="51" t="inlineStr">
        <is>
          <t>當期累計
投入(TWD)</t>
        </is>
      </c>
      <c r="I19" s="51" t="inlineStr">
        <is>
          <t>當月年化
報酬率</t>
        </is>
      </c>
      <c r="J19" s="51" t="n"/>
      <c r="K19" s="51" t="n"/>
      <c r="L19" s="51" t="inlineStr">
        <is>
          <t>備註</t>
        </is>
      </c>
    </row>
    <row r="20" ht="16.5" customHeight="1" s="134">
      <c r="A20" s="53" t="inlineStr">
        <is>
          <t>114年</t>
        </is>
      </c>
      <c r="B20" s="53" t="inlineStr">
        <is>
          <t>5</t>
        </is>
      </c>
      <c r="C20" s="258" t="n">
        <v>0.666</v>
      </c>
      <c r="D20" s="250" t="n">
        <v>1723.533</v>
      </c>
      <c r="E20" s="243">
        <f>C20*D20</f>
        <v/>
      </c>
      <c r="F20" s="252" t="n">
        <v>34561</v>
      </c>
      <c r="G20" s="251">
        <f>F20/E20</f>
        <v/>
      </c>
      <c r="H20" s="246">
        <f>G$5</f>
        <v/>
      </c>
      <c r="I20" s="259">
        <f>F20*12/H20</f>
        <v/>
      </c>
      <c r="J20" s="156" t="n"/>
      <c r="L20" s="140" t="n"/>
      <c r="M20" s="75">
        <f>A20</f>
        <v/>
      </c>
    </row>
    <row r="21" ht="15" customHeight="1" s="134">
      <c r="A21" s="46" t="n"/>
      <c r="B21" s="53" t="inlineStr">
        <is>
          <t>6</t>
        </is>
      </c>
      <c r="C21" s="258" t="n">
        <v>0.677</v>
      </c>
      <c r="D21" s="250" t="n">
        <v>1723.533</v>
      </c>
      <c r="E21" s="243">
        <f>C21*D21</f>
        <v/>
      </c>
      <c r="F21" s="252" t="n">
        <v>34518</v>
      </c>
      <c r="G21" s="251">
        <f>F21/E21</f>
        <v/>
      </c>
      <c r="H21" s="246">
        <f>G$5</f>
        <v/>
      </c>
      <c r="I21" s="259">
        <f>F21*12/H21</f>
        <v/>
      </c>
      <c r="J21" s="156" t="n"/>
      <c r="L21" s="140" t="n"/>
      <c r="M21" s="75">
        <f>IF(A21&lt;&gt;"",A21,M20)</f>
        <v/>
      </c>
    </row>
    <row r="22" ht="15" customHeight="1" s="134">
      <c r="A22" s="46" t="n"/>
      <c r="B22" s="53" t="inlineStr">
        <is>
          <t>7</t>
        </is>
      </c>
      <c r="C22" s="258" t="n">
        <v>0.6830000000000001</v>
      </c>
      <c r="D22" s="250" t="n">
        <v>1723.533</v>
      </c>
      <c r="E22" s="243">
        <f>C22*D22</f>
        <v/>
      </c>
      <c r="F22" s="252" t="n">
        <v>34453</v>
      </c>
      <c r="G22" s="251">
        <f>F22/E22</f>
        <v/>
      </c>
      <c r="H22" s="246">
        <f>G$5</f>
        <v/>
      </c>
      <c r="I22" s="259">
        <f>F22*12/H22</f>
        <v/>
      </c>
      <c r="J22" s="156" t="n"/>
      <c r="L22" s="140" t="n"/>
      <c r="M22" s="75">
        <f>IF(A22&lt;&gt;"",A22,M21)</f>
        <v/>
      </c>
    </row>
    <row r="23" ht="15" customHeight="1" s="134">
      <c r="A23" s="46" t="n"/>
      <c r="B23" s="53" t="inlineStr">
        <is>
          <t>8</t>
        </is>
      </c>
      <c r="C23" s="258" t="n">
        <v>0.6850000000000001</v>
      </c>
      <c r="D23" s="250" t="n">
        <v>1723.533</v>
      </c>
      <c r="E23" s="243">
        <f>C23*D23</f>
        <v/>
      </c>
      <c r="F23" s="252" t="n">
        <v>35410</v>
      </c>
      <c r="G23" s="251">
        <f>F23/E23</f>
        <v/>
      </c>
      <c r="H23" s="246">
        <f>G$5</f>
        <v/>
      </c>
      <c r="I23" s="259">
        <f>F23*12/H23</f>
        <v/>
      </c>
      <c r="J23" s="156" t="n"/>
      <c r="L23" s="140" t="n"/>
      <c r="M23" s="75">
        <f>IF(A23&lt;&gt;"",A23,M22)</f>
        <v/>
      </c>
    </row>
    <row r="24" ht="15" customHeight="1" s="134">
      <c r="A24" s="46" t="n"/>
      <c r="B24" s="53" t="inlineStr">
        <is>
          <t>9</t>
        </is>
      </c>
      <c r="C24" s="258" t="n">
        <v>0.6879999999999999</v>
      </c>
      <c r="D24" s="250" t="n">
        <v>1723.533</v>
      </c>
      <c r="E24" s="243">
        <f>C24*D24</f>
        <v/>
      </c>
      <c r="F24" s="252" t="n">
        <v>35642</v>
      </c>
      <c r="G24" s="251">
        <f>F24/E24</f>
        <v/>
      </c>
      <c r="H24" s="246">
        <f>G$5</f>
        <v/>
      </c>
      <c r="I24" s="259">
        <f>F24*12/H24</f>
        <v/>
      </c>
      <c r="J24" s="156" t="n"/>
      <c r="L24" s="140" t="n"/>
      <c r="M24" s="75">
        <f>IF(A24&lt;&gt;"",A24,M23)</f>
        <v/>
      </c>
    </row>
    <row r="25" ht="15" customHeight="1" s="134">
      <c r="A25" s="46" t="n"/>
      <c r="B25" s="53" t="inlineStr">
        <is>
          <t>10</t>
        </is>
      </c>
      <c r="C25" s="258" t="n">
        <v>0.6909999999999999</v>
      </c>
      <c r="D25" s="250" t="n">
        <v>1723.533</v>
      </c>
      <c r="E25" s="243">
        <f>C25*D25</f>
        <v/>
      </c>
      <c r="F25" s="252" t="n">
        <v>36494</v>
      </c>
      <c r="G25" s="251">
        <f>F25/E25</f>
        <v/>
      </c>
      <c r="H25" s="246">
        <f>G$5</f>
        <v/>
      </c>
      <c r="I25" s="259">
        <f>F25*12/H25</f>
        <v/>
      </c>
      <c r="J25" s="156" t="n"/>
      <c r="L25" s="140" t="n"/>
      <c r="M25" s="75">
        <f>IF(A25&lt;&gt;"",A25,M24)</f>
        <v/>
      </c>
    </row>
    <row r="26" ht="15" customHeight="1" s="134">
      <c r="A26" s="46" t="n"/>
      <c r="B26" s="53" t="inlineStr">
        <is>
          <t>11</t>
        </is>
      </c>
      <c r="C26" s="258" t="n">
        <v>0.6840000000000001</v>
      </c>
      <c r="D26" s="250" t="n">
        <v>1723.533</v>
      </c>
      <c r="E26" s="243">
        <f>C26*D26</f>
        <v/>
      </c>
      <c r="F26" s="252" t="n">
        <v>36749</v>
      </c>
      <c r="G26" s="251">
        <f>F26/E26</f>
        <v/>
      </c>
      <c r="H26" s="246">
        <f>G$5</f>
        <v/>
      </c>
      <c r="I26" s="259">
        <f>F26*12/H26</f>
        <v/>
      </c>
      <c r="J26" s="156" t="n"/>
      <c r="L26" s="140" t="n"/>
      <c r="M26" s="75">
        <f>IF(A26&lt;&gt;"",A26,M25)</f>
        <v/>
      </c>
    </row>
    <row r="27" ht="15" customHeight="1" s="134">
      <c r="A27" s="46" t="n"/>
      <c r="B27" s="53" t="inlineStr">
        <is>
          <t>12</t>
        </is>
      </c>
      <c r="C27" s="258" t="n">
        <v>0.6870000000000001</v>
      </c>
      <c r="D27" s="250" t="n">
        <v>1723.533</v>
      </c>
      <c r="E27" s="243">
        <f>C27*D27</f>
        <v/>
      </c>
      <c r="F27" s="252" t="n">
        <v>37277</v>
      </c>
      <c r="G27" s="251">
        <f>F27/E27</f>
        <v/>
      </c>
      <c r="H27" s="246">
        <f>G$5</f>
        <v/>
      </c>
      <c r="I27" s="259">
        <f>F27*12/H27</f>
        <v/>
      </c>
      <c r="J27" s="156" t="n"/>
      <c r="L27" s="140" t="n"/>
      <c r="M27" s="75">
        <f>IF(A27&lt;&gt;"",A27,M26)</f>
        <v/>
      </c>
    </row>
    <row r="28" ht="16.5" customHeight="1" s="134">
      <c r="A28" s="53" t="inlineStr">
        <is>
          <t>115年</t>
        </is>
      </c>
      <c r="B28" s="53" t="inlineStr">
        <is>
          <t>1</t>
        </is>
      </c>
      <c r="C28" s="258" t="n">
        <v>0.6909999999999999</v>
      </c>
      <c r="D28" s="250" t="n">
        <v>1723.533</v>
      </c>
      <c r="E28" s="243">
        <f>C28*D28</f>
        <v/>
      </c>
      <c r="F28" s="252" t="n">
        <v>37572</v>
      </c>
      <c r="G28" s="251">
        <f>F28/E28</f>
        <v/>
      </c>
      <c r="H28" s="246">
        <f>G$5</f>
        <v/>
      </c>
      <c r="I28" s="259">
        <f>F28*12/H28</f>
        <v/>
      </c>
      <c r="J28" s="156" t="n"/>
      <c r="L28" s="140" t="n"/>
      <c r="M28" s="75">
        <f>IF(A28&lt;&gt;"",A28,M27)</f>
        <v/>
      </c>
    </row>
    <row r="29" ht="15" customHeight="1" s="134">
      <c r="A29" s="46" t="n"/>
      <c r="B29" s="53" t="inlineStr">
        <is>
          <t>2</t>
        </is>
      </c>
      <c r="C29" s="258" t="n">
        <v>0.6929999999999999</v>
      </c>
      <c r="D29" s="250" t="n">
        <v>1723.533</v>
      </c>
      <c r="E29" s="243">
        <f>C29*D29</f>
        <v/>
      </c>
      <c r="F29" s="252" t="n">
        <v>37513</v>
      </c>
      <c r="G29" s="251">
        <f>F29/E29</f>
        <v/>
      </c>
      <c r="H29" s="246">
        <f>G$5</f>
        <v/>
      </c>
      <c r="I29" s="259">
        <f>F29*12/H29</f>
        <v/>
      </c>
      <c r="J29" s="156" t="n"/>
      <c r="L29" s="140" t="n"/>
      <c r="M29" s="75">
        <f>IF(A29&lt;&gt;"",A29,M28)</f>
        <v/>
      </c>
    </row>
    <row r="30" ht="15" customHeight="1" s="134">
      <c r="A30" s="46" t="n"/>
      <c r="B30" s="53" t="inlineStr">
        <is>
          <t>3</t>
        </is>
      </c>
      <c r="C30" s="258" t="n">
        <v>0.68</v>
      </c>
      <c r="D30" s="250" t="n">
        <v>1723.533</v>
      </c>
      <c r="E30" s="243">
        <f>C30*D30</f>
        <v/>
      </c>
      <c r="F30" s="252" t="n">
        <v>37407</v>
      </c>
      <c r="G30" s="251">
        <f>F30/E30</f>
        <v/>
      </c>
      <c r="H30" s="246">
        <f>G$5</f>
        <v/>
      </c>
      <c r="I30" s="259">
        <f>F30*12/H30</f>
        <v/>
      </c>
      <c r="J30" s="156" t="n"/>
      <c r="L30" s="140" t="n"/>
      <c r="M30" s="75">
        <f>IF(A30&lt;&gt;"",A30,M29)</f>
        <v/>
      </c>
    </row>
    <row r="31" ht="15" customHeight="1" s="134">
      <c r="A31" s="46" t="n"/>
      <c r="B31" s="53" t="inlineStr">
        <is>
          <t>4</t>
        </is>
      </c>
      <c r="C31" s="258" t="n">
        <v>0.672</v>
      </c>
      <c r="D31" s="250" t="n">
        <v>1723.533</v>
      </c>
      <c r="E31" s="243">
        <f>C31*D31</f>
        <v/>
      </c>
      <c r="F31" s="252" t="n">
        <v>36602</v>
      </c>
      <c r="G31" s="251">
        <f>F31/E31</f>
        <v/>
      </c>
      <c r="H31" s="246">
        <f>G$5</f>
        <v/>
      </c>
      <c r="I31" s="259">
        <f>F31*12/H31</f>
        <v/>
      </c>
      <c r="J31" s="156" t="n"/>
      <c r="L31" s="140" t="n"/>
      <c r="M31" s="75">
        <f>IF(A31&lt;&gt;"",A31,M30)</f>
        <v/>
      </c>
    </row>
    <row r="32" ht="16.5" customHeight="1" s="134">
      <c r="A32" s="53" t="inlineStr">
        <is>
          <t>115年</t>
        </is>
      </c>
      <c r="B32" s="53" t="inlineStr">
        <is>
          <t>5</t>
        </is>
      </c>
      <c r="C32" s="258" t="n">
        <v>0.696</v>
      </c>
      <c r="D32" s="250" t="n">
        <v>5222.082</v>
      </c>
      <c r="E32" s="243">
        <f>C32*D32</f>
        <v/>
      </c>
      <c r="F32" s="252" t="n">
        <v>114407</v>
      </c>
      <c r="G32" s="251">
        <f>F32/E32</f>
        <v/>
      </c>
      <c r="H32" s="246">
        <f>G$6</f>
        <v/>
      </c>
      <c r="I32" s="259">
        <f>F32*12/H32</f>
        <v/>
      </c>
      <c r="J32" s="156" t="n"/>
      <c r="L32" s="140" t="n"/>
      <c r="M32" s="75">
        <f>IF(A32&lt;&gt;"",A32,M31)</f>
        <v/>
      </c>
    </row>
    <row r="33" ht="15" customHeight="1" s="134">
      <c r="A33" s="46" t="n"/>
      <c r="B33" s="53" t="inlineStr">
        <is>
          <t>6</t>
        </is>
      </c>
      <c r="C33" s="258" t="n">
        <v>0.6899999999999999</v>
      </c>
      <c r="D33" s="250" t="n">
        <v>5222.082</v>
      </c>
      <c r="E33" s="243">
        <f>C33*D33</f>
        <v/>
      </c>
      <c r="F33" s="252" t="n">
        <v>113601</v>
      </c>
      <c r="G33" s="251">
        <f>F33/E33</f>
        <v/>
      </c>
      <c r="H33" s="246">
        <f>G$6</f>
        <v/>
      </c>
      <c r="I33" s="259">
        <f>F33*12/H33</f>
        <v/>
      </c>
      <c r="J33" s="156" t="n"/>
      <c r="L33" s="140" t="n"/>
      <c r="M33" s="75">
        <f>IF(A33&lt;&gt;"",A33,M32)</f>
        <v/>
      </c>
    </row>
    <row r="34" ht="15" customHeight="1" s="134">
      <c r="A34" s="46" t="n"/>
      <c r="B34" s="53" t="inlineStr">
        <is>
          <t>7</t>
        </is>
      </c>
      <c r="C34" s="258" t="n">
        <v>0.6929999999999999</v>
      </c>
      <c r="D34" s="250" t="n">
        <v>5222.082</v>
      </c>
      <c r="E34" s="243">
        <f>C34*D34</f>
        <v/>
      </c>
      <c r="F34" s="252" t="n">
        <v>116483</v>
      </c>
      <c r="G34" s="251">
        <f>F34/E34</f>
        <v/>
      </c>
      <c r="H34" s="246">
        <f>G$6</f>
        <v/>
      </c>
      <c r="I34" s="259">
        <f>F34*12/H34</f>
        <v/>
      </c>
      <c r="J34" s="156" t="n"/>
      <c r="L34" s="140" t="n"/>
      <c r="M34" s="75">
        <f>IF(A34&lt;&gt;"",A34,M33)</f>
        <v/>
      </c>
    </row>
    <row r="35" ht="15" customHeight="1" s="134">
      <c r="A35" s="46" t="n"/>
      <c r="B35" s="53" t="inlineStr">
        <is>
          <t>8</t>
        </is>
      </c>
      <c r="C35" s="258" t="n">
        <v>0.6919999999999999</v>
      </c>
      <c r="D35" s="250" t="n">
        <v>5222.082</v>
      </c>
      <c r="E35" s="243">
        <f>C35*D35</f>
        <v/>
      </c>
      <c r="F35" s="252" t="n">
        <v>115448</v>
      </c>
      <c r="G35" s="251">
        <f>F35/E35</f>
        <v/>
      </c>
      <c r="H35" s="246">
        <f>G$6</f>
        <v/>
      </c>
      <c r="I35" s="259">
        <f>F35*12/H35</f>
        <v/>
      </c>
      <c r="J35" s="156" t="n"/>
      <c r="L35" s="140" t="n"/>
      <c r="M35" s="75">
        <f>IF(A35&lt;&gt;"",A35,M34)</f>
        <v/>
      </c>
    </row>
    <row r="36" ht="15" customHeight="1" s="134">
      <c r="A36" s="76" t="n"/>
      <c r="B36" s="76" t="inlineStr">
        <is>
          <t>9</t>
        </is>
      </c>
      <c r="C36" s="260" t="n">
        <v>0.6850000000000001</v>
      </c>
      <c r="D36" s="253">
        <f>SUMIFS($D$5:$D$13,$K$5:$K$13,"&lt;="&amp;IF(ISNA(VLOOKUP((VALUE(LEFT(M36,3))*100+VALUE(B36)),$P$4:$Q$15,2,FALSE())),DATE((VALUE(LEFT(M36,3))+1911),VALUE(B36),1)-1,DATE((VALUE(LEFT(M36,3))+1911),VALUE(B36),VLOOKUP((VALUE(LEFT(M36,3))*100+VALUE(B36)),$P$4:$Q$15,2,FALSE()))))</f>
        <v/>
      </c>
      <c r="E36" s="243">
        <f>IF(C36="","",C36*D36)</f>
        <v/>
      </c>
      <c r="F36" s="239" t="n">
        <v>168995</v>
      </c>
      <c r="G36" s="251">
        <f>IF(OR(C36="",F36=""),"",F36/E36)</f>
        <v/>
      </c>
      <c r="H36" s="246">
        <f>G$13</f>
        <v/>
      </c>
      <c r="I36" s="259">
        <f>IF(OR(C36="",F36=""),"",F36*12/H36)</f>
        <v/>
      </c>
      <c r="J36" s="156" t="n"/>
      <c r="L36" s="161" t="inlineStr">
        <is>
          <t>← 待填入</t>
        </is>
      </c>
      <c r="M36" s="75">
        <f>IF(A36&lt;&gt;"",A36,M35)</f>
        <v/>
      </c>
    </row>
    <row r="37" ht="15" customHeight="1" s="134">
      <c r="A37" s="76" t="n"/>
      <c r="B37" s="76" t="inlineStr">
        <is>
          <t>10</t>
        </is>
      </c>
      <c r="C37" s="206" t="n"/>
      <c r="D37" s="253">
        <f>SUMIFS($D$5:$D$13,$K$5:$K$13,"&lt;="&amp;IF(ISNA(VLOOKUP((VALUE(LEFT(M37,3))*100+VALUE(B37)),$P$4:$Q$15,2,FALSE())),DATE((VALUE(LEFT(M37,3))+1911),VALUE(B37),1)-1,DATE((VALUE(LEFT(M37,3))+1911),VALUE(B37),VLOOKUP((VALUE(LEFT(M37,3))*100+VALUE(B37)),$P$4:$Q$15,2,FALSE()))))</f>
        <v/>
      </c>
      <c r="E37" s="243">
        <f>IF(C37="","",C37*D37)</f>
        <v/>
      </c>
      <c r="F37" s="181" t="n"/>
      <c r="G37" s="251">
        <f>IF(OR(C37="",F37=""),"",F37/E37)</f>
        <v/>
      </c>
      <c r="H37" s="246">
        <f>G$13</f>
        <v/>
      </c>
      <c r="I37" s="259">
        <f>IF(OR(C37="",F37=""),"",F37*12/H37)</f>
        <v/>
      </c>
      <c r="J37" s="156" t="n"/>
      <c r="L37" s="161" t="inlineStr">
        <is>
          <t>← 待填入</t>
        </is>
      </c>
      <c r="M37" s="75">
        <f>IF(A37&lt;&gt;"",A37,M36)</f>
        <v/>
      </c>
    </row>
    <row r="38" ht="15" customHeight="1" s="134">
      <c r="A38" s="76" t="n"/>
      <c r="B38" s="76" t="inlineStr">
        <is>
          <t>11</t>
        </is>
      </c>
      <c r="C38" s="206" t="n"/>
      <c r="D38" s="253">
        <f>SUMIFS($D$5:$D$13,$K$5:$K$13,"&lt;="&amp;IF(ISNA(VLOOKUP((VALUE(LEFT(M38,3))*100+VALUE(B38)),$P$4:$Q$15,2,FALSE())),DATE((VALUE(LEFT(M38,3))+1911),VALUE(B38),1)-1,DATE((VALUE(LEFT(M38,3))+1911),VALUE(B38),VLOOKUP((VALUE(LEFT(M38,3))*100+VALUE(B38)),$P$4:$Q$15,2,FALSE()))))</f>
        <v/>
      </c>
      <c r="E38" s="243">
        <f>IF(C38="","",C38*D38)</f>
        <v/>
      </c>
      <c r="F38" s="181" t="n"/>
      <c r="G38" s="251">
        <f>IF(OR(C38="",F38=""),"",F38/E38)</f>
        <v/>
      </c>
      <c r="H38" s="246">
        <f>G$13</f>
        <v/>
      </c>
      <c r="I38" s="259">
        <f>IF(OR(C38="",F38=""),"",F38*12/H38)</f>
        <v/>
      </c>
      <c r="J38" s="156" t="n"/>
      <c r="L38" s="161" t="inlineStr">
        <is>
          <t>← 待填入</t>
        </is>
      </c>
      <c r="M38" s="75">
        <f>IF(A38&lt;&gt;"",A38,M37)</f>
        <v/>
      </c>
    </row>
    <row r="39" ht="15" customHeight="1" s="134">
      <c r="A39" s="76" t="n"/>
      <c r="B39" s="76" t="inlineStr">
        <is>
          <t>12</t>
        </is>
      </c>
      <c r="C39" s="206" t="n"/>
      <c r="D39" s="253">
        <f>SUMIFS($D$5:$D$13,$K$5:$K$13,"&lt;="&amp;IF(ISNA(VLOOKUP((VALUE(LEFT(M39,3))*100+VALUE(B39)),$P$4:$Q$15,2,FALSE())),DATE((VALUE(LEFT(M39,3))+1911),VALUE(B39),1)-1,DATE((VALUE(LEFT(M39,3))+1911),VALUE(B39),VLOOKUP((VALUE(LEFT(M39,3))*100+VALUE(B39)),$P$4:$Q$15,2,FALSE()))))</f>
        <v/>
      </c>
      <c r="E39" s="243">
        <f>IF(C39="","",C39*D39)</f>
        <v/>
      </c>
      <c r="F39" s="181" t="n"/>
      <c r="G39" s="251">
        <f>IF(OR(C39="",F39=""),"",F39/E39)</f>
        <v/>
      </c>
      <c r="H39" s="246">
        <f>G$13</f>
        <v/>
      </c>
      <c r="I39" s="259">
        <f>IF(OR(C39="",F39=""),"",F39*12/H39)</f>
        <v/>
      </c>
      <c r="J39" s="156" t="n"/>
      <c r="L39" s="161" t="inlineStr">
        <is>
          <t>← 待填入</t>
        </is>
      </c>
      <c r="M39" s="75">
        <f>IF(A39&lt;&gt;"",A39,M38)</f>
        <v/>
      </c>
    </row>
    <row r="40" ht="16.5" customHeight="1" s="134">
      <c r="A40" s="76" t="inlineStr">
        <is>
          <t>116年</t>
        </is>
      </c>
      <c r="B40" s="76" t="inlineStr">
        <is>
          <t>1</t>
        </is>
      </c>
      <c r="C40" s="206" t="n"/>
      <c r="D40" s="253">
        <f>SUMIFS($D$5:$D$13,$K$5:$K$13,"&lt;="&amp;IF(ISNA(VLOOKUP((VALUE(LEFT(M40,3))*100+VALUE(B40)),$P$4:$Q$15,2,FALSE())),DATE((VALUE(LEFT(M40,3))+1911),VALUE(B40),1)-1,DATE((VALUE(LEFT(M40,3))+1911),VALUE(B40),VLOOKUP((VALUE(LEFT(M40,3))*100+VALUE(B40)),$P$4:$Q$15,2,FALSE()))))</f>
        <v/>
      </c>
      <c r="E40" s="243">
        <f>IF(C40="","",C40*D40)</f>
        <v/>
      </c>
      <c r="F40" s="181" t="n"/>
      <c r="G40" s="251">
        <f>IF(OR(C40="",F40=""),"",F40/E40)</f>
        <v/>
      </c>
      <c r="H40" s="246">
        <f>G$13</f>
        <v/>
      </c>
      <c r="I40" s="259">
        <f>IF(OR(C40="",F40=""),"",F40*12/H40)</f>
        <v/>
      </c>
      <c r="J40" s="156" t="n"/>
      <c r="L40" s="161" t="inlineStr">
        <is>
          <t>← 待填入</t>
        </is>
      </c>
      <c r="M40" s="75">
        <f>IF(A40&lt;&gt;"",A40,M39)</f>
        <v/>
      </c>
    </row>
    <row r="41" ht="15" customHeight="1" s="134">
      <c r="A41" s="76" t="n"/>
      <c r="B41" s="76" t="inlineStr">
        <is>
          <t>2</t>
        </is>
      </c>
      <c r="C41" s="206" t="n"/>
      <c r="D41" s="253">
        <f>SUMIFS($D$5:$D$13,$K$5:$K$13,"&lt;="&amp;IF(ISNA(VLOOKUP((VALUE(LEFT(M41,3))*100+VALUE(B41)),$P$4:$Q$15,2,FALSE())),DATE((VALUE(LEFT(M41,3))+1911),VALUE(B41),1)-1,DATE((VALUE(LEFT(M41,3))+1911),VALUE(B41),VLOOKUP((VALUE(LEFT(M41,3))*100+VALUE(B41)),$P$4:$Q$15,2,FALSE()))))</f>
        <v/>
      </c>
      <c r="E41" s="243">
        <f>IF(C41="","",C41*D41)</f>
        <v/>
      </c>
      <c r="F41" s="181" t="n"/>
      <c r="G41" s="251">
        <f>IF(OR(C41="",F41=""),"",F41/E41)</f>
        <v/>
      </c>
      <c r="H41" s="246">
        <f>G$13</f>
        <v/>
      </c>
      <c r="I41" s="259">
        <f>IF(OR(C41="",F41=""),"",F41*12/H41)</f>
        <v/>
      </c>
      <c r="J41" s="156" t="n"/>
      <c r="L41" s="161" t="inlineStr">
        <is>
          <t>← 待填入</t>
        </is>
      </c>
      <c r="M41" s="75">
        <f>IF(A41&lt;&gt;"",A41,M40)</f>
        <v/>
      </c>
    </row>
    <row r="42" ht="15" customHeight="1" s="134">
      <c r="A42" s="76" t="n"/>
      <c r="B42" s="76" t="inlineStr">
        <is>
          <t>3</t>
        </is>
      </c>
      <c r="C42" s="206" t="n"/>
      <c r="D42" s="253">
        <f>SUMIFS($D$5:$D$13,$K$5:$K$13,"&lt;="&amp;IF(ISNA(VLOOKUP((VALUE(LEFT(M42,3))*100+VALUE(B42)),$P$4:$Q$15,2,FALSE())),DATE((VALUE(LEFT(M42,3))+1911),VALUE(B42),1)-1,DATE((VALUE(LEFT(M42,3))+1911),VALUE(B42),VLOOKUP((VALUE(LEFT(M42,3))*100+VALUE(B42)),$P$4:$Q$15,2,FALSE()))))</f>
        <v/>
      </c>
      <c r="E42" s="243">
        <f>IF(C42="","",C42*D42)</f>
        <v/>
      </c>
      <c r="F42" s="181" t="n"/>
      <c r="G42" s="251">
        <f>IF(OR(C42="",F42=""),"",F42/E42)</f>
        <v/>
      </c>
      <c r="H42" s="246">
        <f>G$13</f>
        <v/>
      </c>
      <c r="I42" s="259">
        <f>IF(OR(C42="",F42=""),"",F42*12/H42)</f>
        <v/>
      </c>
      <c r="J42" s="156" t="n"/>
      <c r="L42" s="161" t="inlineStr">
        <is>
          <t>← 待填入</t>
        </is>
      </c>
      <c r="M42" s="75">
        <f>IF(A42&lt;&gt;"",A42,M41)</f>
        <v/>
      </c>
    </row>
    <row r="43" ht="15" customHeight="1" s="134">
      <c r="A43" s="76" t="n"/>
      <c r="B43" s="76" t="inlineStr">
        <is>
          <t>4</t>
        </is>
      </c>
      <c r="C43" s="206" t="n"/>
      <c r="D43" s="253">
        <f>SUMIFS($D$5:$D$13,$K$5:$K$13,"&lt;="&amp;IF(ISNA(VLOOKUP((VALUE(LEFT(M43,3))*100+VALUE(B43)),$P$4:$Q$15,2,FALSE())),DATE((VALUE(LEFT(M43,3))+1911),VALUE(B43),1)-1,DATE((VALUE(LEFT(M43,3))+1911),VALUE(B43),VLOOKUP((VALUE(LEFT(M43,3))*100+VALUE(B43)),$P$4:$Q$15,2,FALSE()))))</f>
        <v/>
      </c>
      <c r="E43" s="243">
        <f>IF(C43="","",C43*D43)</f>
        <v/>
      </c>
      <c r="F43" s="181" t="n"/>
      <c r="G43" s="251">
        <f>IF(OR(C43="",F43=""),"",F43/E43)</f>
        <v/>
      </c>
      <c r="H43" s="246">
        <f>G$13</f>
        <v/>
      </c>
      <c r="I43" s="259">
        <f>IF(OR(C43="",F43=""),"",F43*12/H43)</f>
        <v/>
      </c>
      <c r="J43" s="156" t="n"/>
      <c r="L43" s="161" t="inlineStr">
        <is>
          <t>← 待填入</t>
        </is>
      </c>
      <c r="M43" s="75">
        <f>IF(A43&lt;&gt;"",A43,M42)</f>
        <v/>
      </c>
    </row>
    <row r="44" ht="15" customHeight="1" s="134">
      <c r="A44" s="76" t="n"/>
      <c r="B44" s="76" t="inlineStr">
        <is>
          <t>5</t>
        </is>
      </c>
      <c r="C44" s="206" t="n"/>
      <c r="D44" s="253">
        <f>SUMIFS($D$5:$D$13,$K$5:$K$13,"&lt;="&amp;IF(ISNA(VLOOKUP((VALUE(LEFT(M44,3))*100+VALUE(B44)),$P$4:$Q$15,2,FALSE())),DATE((VALUE(LEFT(M44,3))+1911),VALUE(B44),1)-1,DATE((VALUE(LEFT(M44,3))+1911),VALUE(B44),VLOOKUP((VALUE(LEFT(M44,3))*100+VALUE(B44)),$P$4:$Q$15,2,FALSE()))))</f>
        <v/>
      </c>
      <c r="E44" s="243">
        <f>IF(C44="","",C44*D44)</f>
        <v/>
      </c>
      <c r="F44" s="181" t="n"/>
      <c r="G44" s="251">
        <f>IF(OR(C44="",F44=""),"",F44/E44)</f>
        <v/>
      </c>
      <c r="H44" s="246">
        <f>G$13</f>
        <v/>
      </c>
      <c r="I44" s="259">
        <f>IF(OR(C44="",F44=""),"",F44*12/H44)</f>
        <v/>
      </c>
      <c r="J44" s="156" t="n"/>
      <c r="L44" s="161" t="inlineStr">
        <is>
          <t>← 待填入</t>
        </is>
      </c>
      <c r="M44" s="75">
        <f>IF(A44&lt;&gt;"",A44,M43)</f>
        <v/>
      </c>
    </row>
    <row r="45" ht="15" customHeight="1" s="134">
      <c r="A45" s="76" t="n"/>
      <c r="B45" s="76" t="inlineStr">
        <is>
          <t>6</t>
        </is>
      </c>
      <c r="C45" s="206" t="n"/>
      <c r="D45" s="253">
        <f>SUMIFS($D$5:$D$13,$K$5:$K$13,"&lt;="&amp;IF(ISNA(VLOOKUP((VALUE(LEFT(M45,3))*100+VALUE(B45)),$P$4:$Q$15,2,FALSE())),DATE((VALUE(LEFT(M45,3))+1911),VALUE(B45),1)-1,DATE((VALUE(LEFT(M45,3))+1911),VALUE(B45),VLOOKUP((VALUE(LEFT(M45,3))*100+VALUE(B45)),$P$4:$Q$15,2,FALSE()))))</f>
        <v/>
      </c>
      <c r="E45" s="243">
        <f>IF(C45="","",C45*D45)</f>
        <v/>
      </c>
      <c r="F45" s="181" t="n"/>
      <c r="G45" s="251">
        <f>IF(OR(C45="",F45=""),"",F45/E45)</f>
        <v/>
      </c>
      <c r="H45" s="246">
        <f>G$13</f>
        <v/>
      </c>
      <c r="I45" s="259">
        <f>IF(OR(C45="",F45=""),"",F45*12/H45)</f>
        <v/>
      </c>
      <c r="J45" s="156" t="n"/>
      <c r="L45" s="161" t="inlineStr">
        <is>
          <t>← 待填入</t>
        </is>
      </c>
      <c r="M45" s="75">
        <f>IF(A45&lt;&gt;"",A45,M44)</f>
        <v/>
      </c>
    </row>
    <row r="46" ht="15" customHeight="1" s="134">
      <c r="A46" s="76" t="n"/>
      <c r="B46" s="76" t="inlineStr">
        <is>
          <t>7</t>
        </is>
      </c>
      <c r="C46" s="206" t="n"/>
      <c r="D46" s="253">
        <f>SUMIFS($D$5:$D$13,$K$5:$K$13,"&lt;="&amp;IF(ISNA(VLOOKUP((VALUE(LEFT(M46,3))*100+VALUE(B46)),$P$4:$Q$15,2,FALSE())),DATE((VALUE(LEFT(M46,3))+1911),VALUE(B46),1)-1,DATE((VALUE(LEFT(M46,3))+1911),VALUE(B46),VLOOKUP((VALUE(LEFT(M46,3))*100+VALUE(B46)),$P$4:$Q$15,2,FALSE()))))</f>
        <v/>
      </c>
      <c r="E46" s="243">
        <f>IF(C46="","",C46*D46)</f>
        <v/>
      </c>
      <c r="F46" s="181" t="n"/>
      <c r="G46" s="251">
        <f>IF(OR(C46="",F46=""),"",F46/E46)</f>
        <v/>
      </c>
      <c r="H46" s="246">
        <f>G$13</f>
        <v/>
      </c>
      <c r="I46" s="259">
        <f>IF(OR(C46="",F46=""),"",F46*12/H46)</f>
        <v/>
      </c>
      <c r="J46" s="156" t="n"/>
      <c r="L46" s="161" t="inlineStr">
        <is>
          <t>← 待填入</t>
        </is>
      </c>
      <c r="M46" s="75">
        <f>IF(A46&lt;&gt;"",A46,M45)</f>
        <v/>
      </c>
    </row>
    <row r="47" ht="15" customHeight="1" s="134">
      <c r="A47" s="76" t="n"/>
      <c r="B47" s="76" t="inlineStr">
        <is>
          <t>8</t>
        </is>
      </c>
      <c r="C47" s="206" t="n"/>
      <c r="D47" s="253">
        <f>SUMIFS($D$5:$D$13,$K$5:$K$13,"&lt;="&amp;IF(ISNA(VLOOKUP((VALUE(LEFT(M47,3))*100+VALUE(B47)),$P$4:$Q$15,2,FALSE())),DATE((VALUE(LEFT(M47,3))+1911),VALUE(B47),1)-1,DATE((VALUE(LEFT(M47,3))+1911),VALUE(B47),VLOOKUP((VALUE(LEFT(M47,3))*100+VALUE(B47)),$P$4:$Q$15,2,FALSE()))))</f>
        <v/>
      </c>
      <c r="E47" s="243">
        <f>IF(C47="","",C47*D47)</f>
        <v/>
      </c>
      <c r="F47" s="181" t="n"/>
      <c r="G47" s="251">
        <f>IF(OR(C47="",F47=""),"",F47/E47)</f>
        <v/>
      </c>
      <c r="H47" s="246">
        <f>G$13</f>
        <v/>
      </c>
      <c r="I47" s="259">
        <f>IF(OR(C47="",F47=""),"",F47*12/H47)</f>
        <v/>
      </c>
      <c r="J47" s="156" t="n"/>
      <c r="L47" s="161" t="inlineStr">
        <is>
          <t>← 待填入</t>
        </is>
      </c>
      <c r="M47" s="75">
        <f>IF(A47&lt;&gt;"",A47,M46)</f>
        <v/>
      </c>
    </row>
    <row r="48" ht="15" customHeight="1" s="134">
      <c r="A48" s="76" t="n"/>
      <c r="B48" s="76" t="inlineStr">
        <is>
          <t>9</t>
        </is>
      </c>
      <c r="C48" s="206" t="n"/>
      <c r="D48" s="253">
        <f>SUMIFS($D$5:$D$13,$K$5:$K$13,"&lt;="&amp;IF(ISNA(VLOOKUP((VALUE(LEFT(M48,3))*100+VALUE(B48)),$P$4:$Q$15,2,FALSE())),DATE((VALUE(LEFT(M48,3))+1911),VALUE(B48),1)-1,DATE((VALUE(LEFT(M48,3))+1911),VALUE(B48),VLOOKUP((VALUE(LEFT(M48,3))*100+VALUE(B48)),$P$4:$Q$15,2,FALSE()))))</f>
        <v/>
      </c>
      <c r="E48" s="243">
        <f>IF(C48="","",C48*D48)</f>
        <v/>
      </c>
      <c r="F48" s="181" t="n"/>
      <c r="G48" s="251">
        <f>IF(OR(C48="",F48=""),"",F48/E48)</f>
        <v/>
      </c>
      <c r="H48" s="246">
        <f>G$13</f>
        <v/>
      </c>
      <c r="I48" s="259">
        <f>IF(OR(C48="",F48=""),"",F48*12/H48)</f>
        <v/>
      </c>
      <c r="J48" s="156" t="n"/>
      <c r="L48" s="161" t="inlineStr">
        <is>
          <t>← 待填入</t>
        </is>
      </c>
      <c r="M48" s="75">
        <f>IF(A48&lt;&gt;"",A48,M47)</f>
        <v/>
      </c>
    </row>
    <row r="49" ht="15" customHeight="1" s="134">
      <c r="A49" s="76" t="n"/>
      <c r="B49" s="76" t="inlineStr">
        <is>
          <t>10</t>
        </is>
      </c>
      <c r="C49" s="206" t="n"/>
      <c r="D49" s="253">
        <f>SUMIFS($D$5:$D$13,$K$5:$K$13,"&lt;="&amp;IF(ISNA(VLOOKUP((VALUE(LEFT(M49,3))*100+VALUE(B49)),$P$4:$Q$15,2,FALSE())),DATE((VALUE(LEFT(M49,3))+1911),VALUE(B49),1)-1,DATE((VALUE(LEFT(M49,3))+1911),VALUE(B49),VLOOKUP((VALUE(LEFT(M49,3))*100+VALUE(B49)),$P$4:$Q$15,2,FALSE()))))</f>
        <v/>
      </c>
      <c r="E49" s="243">
        <f>IF(C49="","",C49*D49)</f>
        <v/>
      </c>
      <c r="F49" s="181" t="n"/>
      <c r="G49" s="251">
        <f>IF(OR(C49="",F49=""),"",F49/E49)</f>
        <v/>
      </c>
      <c r="H49" s="246">
        <f>G$13</f>
        <v/>
      </c>
      <c r="I49" s="259">
        <f>IF(OR(C49="",F49=""),"",F49*12/H49)</f>
        <v/>
      </c>
      <c r="J49" s="156" t="n"/>
      <c r="L49" s="161" t="inlineStr">
        <is>
          <t>← 待填入</t>
        </is>
      </c>
      <c r="M49" s="75">
        <f>IF(A49&lt;&gt;"",A49,M48)</f>
        <v/>
      </c>
    </row>
    <row r="50" ht="15" customHeight="1" s="134">
      <c r="A50" s="76" t="n"/>
      <c r="B50" s="76" t="inlineStr">
        <is>
          <t>11</t>
        </is>
      </c>
      <c r="C50" s="206" t="n"/>
      <c r="D50" s="253">
        <f>SUMIFS($D$5:$D$13,$K$5:$K$13,"&lt;="&amp;IF(ISNA(VLOOKUP((VALUE(LEFT(M50,3))*100+VALUE(B50)),$P$4:$Q$15,2,FALSE())),DATE((VALUE(LEFT(M50,3))+1911),VALUE(B50),1)-1,DATE((VALUE(LEFT(M50,3))+1911),VALUE(B50),VLOOKUP((VALUE(LEFT(M50,3))*100+VALUE(B50)),$P$4:$Q$15,2,FALSE()))))</f>
        <v/>
      </c>
      <c r="E50" s="243">
        <f>IF(C50="","",C50*D50)</f>
        <v/>
      </c>
      <c r="F50" s="181" t="n"/>
      <c r="G50" s="251">
        <f>IF(OR(C50="",F50=""),"",F50/E50)</f>
        <v/>
      </c>
      <c r="H50" s="246">
        <f>G$13</f>
        <v/>
      </c>
      <c r="I50" s="259">
        <f>IF(OR(C50="",F50=""),"",F50*12/H50)</f>
        <v/>
      </c>
      <c r="J50" s="156" t="n"/>
      <c r="L50" s="161" t="inlineStr">
        <is>
          <t>← 待填入</t>
        </is>
      </c>
      <c r="M50" s="75">
        <f>IF(A50&lt;&gt;"",A50,M49)</f>
        <v/>
      </c>
    </row>
    <row r="51" ht="15" customHeight="1" s="134">
      <c r="A51" s="76" t="n"/>
      <c r="B51" s="76" t="inlineStr">
        <is>
          <t>12</t>
        </is>
      </c>
      <c r="C51" s="206" t="n"/>
      <c r="D51" s="253">
        <f>SUMIFS($D$5:$D$13,$K$5:$K$13,"&lt;="&amp;IF(ISNA(VLOOKUP((VALUE(LEFT(M51,3))*100+VALUE(B51)),$P$4:$Q$15,2,FALSE())),DATE((VALUE(LEFT(M51,3))+1911),VALUE(B51),1)-1,DATE((VALUE(LEFT(M51,3))+1911),VALUE(B51),VLOOKUP((VALUE(LEFT(M51,3))*100+VALUE(B51)),$P$4:$Q$15,2,FALSE()))))</f>
        <v/>
      </c>
      <c r="E51" s="243">
        <f>IF(C51="","",C51*D51)</f>
        <v/>
      </c>
      <c r="F51" s="181" t="n"/>
      <c r="G51" s="251">
        <f>IF(OR(C51="",F51=""),"",F51/E51)</f>
        <v/>
      </c>
      <c r="H51" s="246">
        <f>G$13</f>
        <v/>
      </c>
      <c r="I51" s="259">
        <f>IF(OR(C51="",F51=""),"",F51*12/H51)</f>
        <v/>
      </c>
      <c r="J51" s="156" t="n"/>
      <c r="L51" s="161" t="inlineStr">
        <is>
          <t>← 待填入</t>
        </is>
      </c>
      <c r="M51" s="75">
        <f>IF(A51&lt;&gt;"",A51,M50)</f>
        <v/>
      </c>
    </row>
    <row r="52"/>
    <row r="53" ht="21.75" customHeight="1" s="134">
      <c r="A53" s="135" t="inlineStr">
        <is>
          <t>統計摘要</t>
        </is>
      </c>
      <c r="B53" s="136" t="n"/>
      <c r="C53" s="136" t="n"/>
      <c r="D53" s="136" t="n"/>
      <c r="E53" s="136" t="n"/>
      <c r="F53" s="136" t="n"/>
      <c r="G53" s="136" t="n"/>
      <c r="H53" s="136" t="n"/>
      <c r="I53" s="136" t="n"/>
      <c r="J53" s="136" t="n"/>
      <c r="K53" s="136" t="n"/>
      <c r="L53" s="137" t="n"/>
    </row>
    <row r="54" ht="16.5" customHeight="1" s="134">
      <c r="A54" s="168" t="inlineStr">
        <is>
          <t>累計實收配息(台幣,已發生月份)</t>
        </is>
      </c>
      <c r="B54" s="141" t="n"/>
      <c r="C54" s="142" t="n"/>
      <c r="D54" s="172">
        <f>SUM(F20:F35)</f>
        <v/>
      </c>
      <c r="E54" s="168" t="inlineStr">
        <is>
          <t>平均每單位配息(USD)</t>
        </is>
      </c>
      <c r="F54" s="141" t="n"/>
      <c r="G54" s="142" t="n"/>
      <c r="H54" s="207">
        <f>AVERAGE(C20:C35)</f>
        <v/>
      </c>
      <c r="I54" s="168" t="inlineStr">
        <is>
          <t>歷史平均年化報酬率</t>
        </is>
      </c>
      <c r="J54" s="141" t="n"/>
      <c r="K54" s="142" t="n"/>
      <c r="L54" s="80">
        <f>AVERAGE(I20:I35)</f>
        <v/>
      </c>
    </row>
    <row r="55"/>
    <row r="56" ht="21.75" customHeight="1" s="134">
      <c r="A56" s="135" t="inlineStr">
        <is>
          <t>💡 使用說明</t>
        </is>
      </c>
      <c r="B56" s="136" t="n"/>
      <c r="C56" s="136" t="n"/>
      <c r="D56" s="136" t="n"/>
      <c r="E56" s="136" t="n"/>
      <c r="F56" s="136" t="n"/>
      <c r="G56" s="136" t="n"/>
      <c r="H56" s="136" t="n"/>
      <c r="I56" s="136" t="n"/>
      <c r="J56" s="136" t="n"/>
      <c r="K56" s="136" t="n"/>
      <c r="L56" s="137" t="n"/>
    </row>
    <row r="57" ht="15.75" customHeight="1" s="134">
      <c r="B57" s="138" t="inlineStr">
        <is>
          <t>每月配息到帳後：於「未來待填」區塊（黃底列）填入當月每單位配息(USD)與實收台幣，其餘欄位自動計算。</t>
        </is>
      </c>
    </row>
    <row r="58" ht="15.75" customHeight="1" s="134">
      <c r="B58" s="138" t="inlineStr">
        <is>
          <t>「加權平均成本(NAV)」＝累計投入美金÷累計單位數，用於計算未實現損益（見資產負債表）。</t>
        </is>
      </c>
    </row>
    <row r="59" ht="15.75" customHeight="1" s="134">
      <c r="B59" s="138" t="inlineStr">
        <is>
          <t>若未來再有新增申購批次，請在「申購記錄」表新增一列，並更新後續配息列的「持有單位數」與「當期累計投入」參照列。</t>
        </is>
      </c>
    </row>
  </sheetData>
  <mergeCells count="47">
    <mergeCell ref="J39:K39"/>
    <mergeCell ref="I54:K54"/>
    <mergeCell ref="J44:K44"/>
    <mergeCell ref="J29:K29"/>
    <mergeCell ref="J38:K38"/>
    <mergeCell ref="B59:L59"/>
    <mergeCell ref="J37:K37"/>
    <mergeCell ref="A18:L18"/>
    <mergeCell ref="J28:K28"/>
    <mergeCell ref="A56:L56"/>
    <mergeCell ref="A3:L3"/>
    <mergeCell ref="A54:C54"/>
    <mergeCell ref="J40:K40"/>
    <mergeCell ref="J30:K30"/>
    <mergeCell ref="B58:L58"/>
    <mergeCell ref="J34:K34"/>
    <mergeCell ref="J24:K24"/>
    <mergeCell ref="J49:K49"/>
    <mergeCell ref="J27:K27"/>
    <mergeCell ref="J45:K45"/>
    <mergeCell ref="J36:K36"/>
    <mergeCell ref="A53:L53"/>
    <mergeCell ref="B57:L57"/>
    <mergeCell ref="E54:G54"/>
    <mergeCell ref="J26:K26"/>
    <mergeCell ref="J35:K35"/>
    <mergeCell ref="J20:K20"/>
    <mergeCell ref="H16:I16"/>
    <mergeCell ref="A16:C16"/>
    <mergeCell ref="J32:K32"/>
    <mergeCell ref="J25:K25"/>
    <mergeCell ref="J41:K41"/>
    <mergeCell ref="J31:K31"/>
    <mergeCell ref="J22:K22"/>
    <mergeCell ref="J47:K47"/>
    <mergeCell ref="J21:K21"/>
    <mergeCell ref="A15:L15"/>
    <mergeCell ref="J43:K43"/>
    <mergeCell ref="E16:F16"/>
    <mergeCell ref="J50:K50"/>
    <mergeCell ref="J46:K46"/>
    <mergeCell ref="A1:L1"/>
    <mergeCell ref="J42:K42"/>
    <mergeCell ref="J51:K51"/>
    <mergeCell ref="J33:K33"/>
    <mergeCell ref="J23:K23"/>
    <mergeCell ref="J48:K48"/>
  </mergeCells>
  <printOptions horizontalCentered="1"/>
  <pageMargins left="0.4" right="0.4" top="0.5" bottom="0.5" header="0.511811023622047" footer="0.511811023622047"/>
  <pageSetup orientation="landscape" paperSize="9" fitToHeight="0" horizontalDpi="300" verticalDpi="300"/>
</worksheet>
</file>

<file path=xl/worksheets/sheet7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D35"/>
  <sheetViews>
    <sheetView showGridLines="0" zoomScaleNormal="100" workbookViewId="0">
      <pane ySplit="7" topLeftCell="A11" activePane="bottomLeft" state="frozen"/>
      <selection pane="bottomLeft" activeCell="A1" sqref="A1:D1"/>
    </sheetView>
  </sheetViews>
  <sheetFormatPr baseColWidth="8" defaultColWidth="8.6640625" defaultRowHeight="14.25"/>
  <cols>
    <col width="6" customWidth="1" style="134" min="1" max="1"/>
    <col width="30" customWidth="1" style="134" min="2" max="2"/>
    <col width="14" customWidth="1" style="134" min="3" max="3"/>
    <col width="48" customWidth="1" style="134" min="4" max="4"/>
  </cols>
  <sheetData>
    <row r="1" ht="31.5" customHeight="1" s="134">
      <c r="A1" s="153" t="inlineStr">
        <is>
          <t>📋  月度收支明細表</t>
        </is>
      </c>
      <c r="B1" s="136" t="n"/>
      <c r="C1" s="136" t="n"/>
      <c r="D1" s="137" t="n"/>
    </row>
    <row r="2"/>
    <row r="3" ht="21.75" customHeight="1" s="134">
      <c r="A3" s="135" t="inlineStr">
        <is>
          <t>⚙️ 配息率假設（僅供參考，不再驅動下方收入計算）</t>
        </is>
      </c>
      <c r="B3" s="136" t="n"/>
      <c r="C3" s="136" t="n"/>
      <c r="D3" s="137" t="n"/>
    </row>
    <row r="4" ht="15" customHeight="1" s="134">
      <c r="A4" s="156" t="n"/>
      <c r="B4" s="209" t="inlineStr">
        <is>
          <t>預估年化配息率</t>
        </is>
      </c>
      <c r="C4" s="142" t="n"/>
      <c r="D4" s="261" t="n">
        <v>0.11</v>
      </c>
    </row>
    <row r="5" ht="25.5" customHeight="1" s="134">
      <c r="B5" s="138" t="inlineStr">
        <is>
          <t>下方「基金配息」收入已改為抓最近3個月實際配息平均，這裡僅留作你自己評估用的參考假設</t>
        </is>
      </c>
    </row>
    <row r="6" ht="21.75" customHeight="1" s="134">
      <c r="A6" s="135" t="inlineStr">
        <is>
          <t>💰 收入</t>
        </is>
      </c>
      <c r="B6" s="136" t="n"/>
      <c r="C6" s="136" t="n"/>
      <c r="D6" s="137" t="n"/>
    </row>
    <row r="7" ht="15" customHeight="1" s="134">
      <c r="A7" s="3" t="inlineStr">
        <is>
          <t>序</t>
        </is>
      </c>
      <c r="B7" s="3" t="inlineStr">
        <is>
          <t>項目</t>
        </is>
      </c>
      <c r="C7" s="3" t="inlineStr">
        <is>
          <t>金額</t>
        </is>
      </c>
      <c r="D7" s="145" t="inlineStr">
        <is>
          <t>備註</t>
        </is>
      </c>
    </row>
    <row r="8" ht="15" customHeight="1" s="134">
      <c r="A8" s="17" t="n">
        <v>1</v>
      </c>
      <c r="B8" s="143" t="inlineStr">
        <is>
          <t>月薪</t>
        </is>
      </c>
      <c r="C8" s="252" t="n">
        <v>66378</v>
      </c>
      <c r="D8" s="140" t="inlineStr">
        <is>
          <t>原始事實</t>
        </is>
      </c>
    </row>
    <row r="9" ht="15" customHeight="1" s="134">
      <c r="A9" s="17" t="n">
        <v>2</v>
      </c>
      <c r="B9" s="143" t="inlineStr">
        <is>
          <t>加班費</t>
        </is>
      </c>
      <c r="C9" s="252" t="n">
        <v>8000</v>
      </c>
      <c r="D9" s="140" t="inlineStr">
        <is>
          <t>原始事實</t>
        </is>
      </c>
    </row>
    <row r="10" ht="15" customHeight="1" s="134">
      <c r="A10" s="17" t="n">
        <v>3</v>
      </c>
      <c r="B10" s="143" t="inlineStr">
        <is>
          <t>危勞津貼</t>
        </is>
      </c>
      <c r="C10" s="252" t="n">
        <v>0</v>
      </c>
      <c r="D10" s="140" t="inlineStr">
        <is>
          <t>目前無，如有請填入</t>
        </is>
      </c>
    </row>
    <row r="11" ht="32" customHeight="1" s="134">
      <c r="A11" s="17" t="n">
        <v>4</v>
      </c>
      <c r="B11" s="143" t="inlineStr">
        <is>
          <t>基金配息(近3個月實際平均)</t>
        </is>
      </c>
      <c r="C11" s="230">
        <f>IFERROR(AVERAGE(OFFSET(基金配息紀錄!F20,MAX(0,COUNT(基金配息紀錄!F20:F51)-3),0,MIN(3,COUNT(基金配息紀錄!F20:F51)),1)),0)</f>
        <v/>
      </c>
      <c r="D11" s="120" t="inlineStr">
        <is>
          <t>取「基金配息紀錄」最近3個有資料的月份實收台幣平均，取代固定假設利率估算</t>
        </is>
      </c>
    </row>
    <row r="12" ht="15" customHeight="1" s="134">
      <c r="A12" s="168" t="inlineStr">
        <is>
          <t>收入合計</t>
        </is>
      </c>
      <c r="B12" s="142" t="n"/>
      <c r="C12" s="172">
        <f>SUM(C8:C11)</f>
        <v/>
      </c>
      <c r="D12" s="155" t="n"/>
    </row>
    <row r="13"/>
    <row r="14" ht="21.75" customHeight="1" s="134">
      <c r="A14" s="135" t="inlineStr">
        <is>
          <t>💸 支出</t>
        </is>
      </c>
      <c r="B14" s="136" t="n"/>
      <c r="C14" s="136" t="n"/>
      <c r="D14" s="137" t="n"/>
    </row>
    <row r="15" ht="15" customHeight="1" s="134">
      <c r="A15" s="3" t="inlineStr">
        <is>
          <t>序</t>
        </is>
      </c>
      <c r="B15" s="3" t="inlineStr">
        <is>
          <t>項目</t>
        </is>
      </c>
      <c r="C15" s="3" t="inlineStr">
        <is>
          <t>金額</t>
        </is>
      </c>
      <c r="D15" s="145" t="inlineStr">
        <is>
          <t>備註</t>
        </is>
      </c>
    </row>
    <row r="16" ht="15" customHeight="1" s="134">
      <c r="A16" s="17" t="n">
        <v>1</v>
      </c>
      <c r="B16" s="20" t="inlineStr">
        <is>
          <t>【北區】原房貸</t>
        </is>
      </c>
      <c r="C16" s="262" t="n">
        <v>-32400</v>
      </c>
      <c r="D16" s="22" t="inlineStr">
        <is>
          <t>元大銀行803萬，30年期，利率2.66%</t>
        </is>
      </c>
    </row>
    <row r="17" ht="15" customHeight="1" s="134">
      <c r="A17" s="17" t="n">
        <v>2</v>
      </c>
      <c r="B17" s="20" t="inlineStr">
        <is>
          <t>【北區】理財型房貸本利攤還</t>
        </is>
      </c>
      <c r="C17" s="262" t="n">
        <v>-35040</v>
      </c>
      <c r="D17" s="22" t="inlineStr">
        <is>
          <t>元大銀行881萬(內含合庫房貸壽)，30年期，2.55%</t>
        </is>
      </c>
    </row>
    <row r="18" ht="15" customHeight="1" s="134">
      <c r="A18" s="17" t="n">
        <v>3</v>
      </c>
      <c r="B18" s="20" t="inlineStr">
        <is>
          <t>【北區】理財型房貸壽險</t>
        </is>
      </c>
      <c r="C18" s="262" t="n">
        <v>-2299</v>
      </c>
      <c r="D18" s="22" t="inlineStr">
        <is>
          <t>平準型，保額800萬(20年)，保費58萬</t>
        </is>
      </c>
    </row>
    <row r="19" ht="15" customHeight="1" s="134">
      <c r="A19" s="17" t="n">
        <v>4</v>
      </c>
      <c r="B19" s="23" t="inlineStr">
        <is>
          <t>【東區】理財型房貸本利攤還</t>
        </is>
      </c>
      <c r="C19" s="263" t="n">
        <v>-23804</v>
      </c>
      <c r="D19" s="25" t="inlineStr">
        <is>
          <t>598.5萬，30年期，2.55%</t>
        </is>
      </c>
    </row>
    <row r="20" ht="32" customHeight="1" s="134">
      <c r="A20" s="17" t="n">
        <v>5</v>
      </c>
      <c r="B20" s="23" t="inlineStr">
        <is>
          <t>【東區】理財型房貸壽險</t>
        </is>
      </c>
      <c r="C20" s="263" t="n">
        <v>-1651</v>
      </c>
      <c r="D20" s="122" t="inlineStr">
        <is>
          <t>平準型，保額1044萬(25年)；總保費82萬9249元，與弟弟共同分攤，本人負擔41萬4625元</t>
        </is>
      </c>
    </row>
    <row r="21" ht="15" customHeight="1" s="134">
      <c r="A21" s="17" t="n">
        <v>6</v>
      </c>
      <c r="B21" s="143" t="inlineStr">
        <is>
          <t>車貸</t>
        </is>
      </c>
      <c r="C21" s="231" t="n">
        <v>-20892</v>
      </c>
      <c r="D21" s="140" t="inlineStr">
        <is>
          <t>元大銀行140萬，6年期，利率2.35%</t>
        </is>
      </c>
    </row>
    <row r="22" ht="15" customHeight="1" s="134">
      <c r="A22" s="17" t="n">
        <v>7</v>
      </c>
      <c r="B22" s="143" t="inlineStr">
        <is>
          <t>信貸</t>
        </is>
      </c>
      <c r="C22" s="231" t="n">
        <v>-5718</v>
      </c>
      <c r="D22" s="140" t="inlineStr">
        <is>
          <t>將來銀行20萬，36期，利率1.88%</t>
        </is>
      </c>
    </row>
    <row r="23" ht="15" customHeight="1" s="134">
      <c r="A23" s="17" t="n">
        <v>8</v>
      </c>
      <c r="B23" s="143" t="inlineStr">
        <is>
          <t>個人醫療保險費</t>
        </is>
      </c>
      <c r="C23" s="231" t="n">
        <v>-3300</v>
      </c>
      <c r="D23" s="140" t="inlineStr">
        <is>
          <t>凱基人壽，年繳38,883，12月</t>
        </is>
      </c>
    </row>
    <row r="24" ht="32" customHeight="1" s="134">
      <c r="A24" s="17" t="n">
        <v>9</v>
      </c>
      <c r="B24" s="143" t="inlineStr">
        <is>
          <t>育兒費(本人負擔)</t>
        </is>
      </c>
      <c r="C24" s="231">
        <f>-育兒費!F66</f>
        <v/>
      </c>
      <c r="D24" s="120" t="inlineStr">
        <is>
          <t>教育費＋醫療費＋保險費，與前妻各半均攤，取近12個月平均（保費實際由每月現金流支付，已併入計算）</t>
        </is>
      </c>
    </row>
    <row r="25" ht="15" customHeight="1" s="134">
      <c r="A25" s="17" t="n">
        <v>10</v>
      </c>
      <c r="B25" s="143" t="inlineStr">
        <is>
          <t>生活費</t>
        </is>
      </c>
      <c r="C25" s="231" t="n">
        <v>-10000</v>
      </c>
      <c r="D25" s="140" t="inlineStr">
        <is>
          <t>中國信託</t>
        </is>
      </c>
    </row>
    <row r="26" ht="15" customHeight="1" s="134">
      <c r="A26" s="17" t="n">
        <v>11</v>
      </c>
      <c r="B26" s="143" t="inlineStr">
        <is>
          <t>管理費</t>
        </is>
      </c>
      <c r="C26" s="231" t="n">
        <v>-4100</v>
      </c>
      <c r="D26" s="140" t="inlineStr">
        <is>
          <t>一坪80元＋汽車位300＋機車位100</t>
        </is>
      </c>
    </row>
    <row r="27" ht="15" customHeight="1" s="134">
      <c r="A27" s="17" t="n">
        <v>12</v>
      </c>
      <c r="B27" s="143" t="inlineStr">
        <is>
          <t>孝親費</t>
        </is>
      </c>
      <c r="C27" s="231" t="n">
        <v>-10000</v>
      </c>
      <c r="D27" s="140" t="inlineStr">
        <is>
          <t>臺灣銀行</t>
        </is>
      </c>
    </row>
    <row r="28" ht="16.5" customHeight="1" s="134">
      <c r="A28" s="17" t="n">
        <v>13</v>
      </c>
      <c r="B28" s="143" t="inlineStr">
        <is>
          <t>投資(VOO/VT)</t>
        </is>
      </c>
      <c r="C28" s="231" t="n">
        <v>-15000</v>
      </c>
      <c r="D28" s="27" t="inlineStr">
        <is>
          <t>VOO 12,000＋VT 3,000</t>
        </is>
      </c>
    </row>
    <row r="29" ht="15" customHeight="1" s="134">
      <c r="A29" s="17" t="n">
        <v>14</v>
      </c>
      <c r="B29" s="143" t="inlineStr">
        <is>
          <t>信用卡費</t>
        </is>
      </c>
      <c r="C29" s="231">
        <f>信用卡年支出!G19</f>
        <v/>
      </c>
      <c r="D29" s="140" t="inlineStr">
        <is>
          <t>見「信用卡年支出」分頁自動加總</t>
        </is>
      </c>
    </row>
    <row r="30" ht="15" customHeight="1" s="134">
      <c r="A30" s="17" t="n">
        <v>15</v>
      </c>
      <c r="B30" s="143" t="inlineStr">
        <is>
          <t>潘寧課輔</t>
        </is>
      </c>
      <c r="C30" s="231" t="n">
        <v>-10000</v>
      </c>
      <c r="D30" s="140" t="n"/>
    </row>
    <row r="31" ht="15" customHeight="1" s="134">
      <c r="A31" s="17" t="n">
        <v>16</v>
      </c>
      <c r="B31" s="143" t="inlineStr">
        <is>
          <t>潘維課輔</t>
        </is>
      </c>
      <c r="C31" s="231" t="n">
        <v>-10000</v>
      </c>
      <c r="D31" s="140" t="n"/>
    </row>
    <row r="32" ht="15" customHeight="1" s="134">
      <c r="A32" s="168" t="inlineStr">
        <is>
          <t>支出合計</t>
        </is>
      </c>
      <c r="B32" s="142" t="n"/>
      <c r="C32" s="213">
        <f>SUM(C16:C31)</f>
        <v/>
      </c>
      <c r="D32" s="155" t="n"/>
    </row>
    <row r="33"/>
    <row r="34" ht="21.75" customHeight="1" s="134">
      <c r="A34" s="135" t="inlineStr">
        <is>
          <t>🧾 淨結餘</t>
        </is>
      </c>
      <c r="B34" s="136" t="n"/>
      <c r="C34" s="136" t="n"/>
      <c r="D34" s="137" t="n"/>
    </row>
    <row r="35" ht="15" customHeight="1" s="134">
      <c r="A35" s="168" t="inlineStr">
        <is>
          <t>月淨結餘</t>
        </is>
      </c>
      <c r="B35" s="142" t="n"/>
      <c r="C35" s="172">
        <f>C12+C32</f>
        <v/>
      </c>
      <c r="D35" s="155" t="n"/>
    </row>
  </sheetData>
  <mergeCells count="10">
    <mergeCell ref="A1:D1"/>
    <mergeCell ref="B5:D5"/>
    <mergeCell ref="A6:D6"/>
    <mergeCell ref="A34:D34"/>
    <mergeCell ref="A35:B35"/>
    <mergeCell ref="A3:D3"/>
    <mergeCell ref="A32:B32"/>
    <mergeCell ref="B4:C4"/>
    <mergeCell ref="A14:D14"/>
    <mergeCell ref="A12:B12"/>
  </mergeCells>
  <printOptions horizontalCentered="1"/>
  <pageMargins left="0.4" right="0.4" top="0.5" bottom="0.5" header="0.511811023622047" footer="0.511811023622047"/>
  <pageSetup orientation="portrait" paperSize="9" fitToHeight="0" horizontalDpi="300" verticalDpi="300"/>
</worksheet>
</file>

<file path=xl/worksheets/sheet8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H40"/>
  <sheetViews>
    <sheetView showGridLines="0" zoomScaleNormal="100" workbookViewId="0">
      <pane ySplit="4" topLeftCell="A5" activePane="bottomLeft" state="frozen"/>
      <selection pane="bottomLeft" activeCell="A1" sqref="A1:H1"/>
    </sheetView>
  </sheetViews>
  <sheetFormatPr baseColWidth="8" defaultColWidth="8.6640625" defaultRowHeight="14.25"/>
  <cols>
    <col width="6" customWidth="1" style="134" min="1" max="1"/>
    <col width="20" customWidth="1" style="134" min="2" max="2"/>
    <col width="10" customWidth="1" style="134" min="3" max="3"/>
    <col width="13" customWidth="1" style="134" min="4" max="7"/>
    <col width="13" customWidth="1" style="134" min="5" max="5"/>
    <col width="13" customWidth="1" style="134" min="6" max="6"/>
    <col width="13" customWidth="1" style="134" min="7" max="7"/>
    <col width="24" customWidth="1" style="134" min="8" max="8"/>
  </cols>
  <sheetData>
    <row r="1" ht="31.5" customHeight="1" s="134">
      <c r="A1" s="153" t="inlineStr">
        <is>
          <t>💳  信用卡與年度固定支出</t>
        </is>
      </c>
      <c r="B1" s="136" t="n"/>
      <c r="C1" s="136" t="n"/>
      <c r="D1" s="136" t="n"/>
      <c r="E1" s="136" t="n"/>
      <c r="F1" s="136" t="n"/>
      <c r="G1" s="136" t="n"/>
      <c r="H1" s="137" t="n"/>
    </row>
    <row r="2"/>
    <row r="3" ht="21.75" customHeight="1" s="134">
      <c r="A3" s="135" t="inlineStr">
        <is>
          <t>信用卡明細（固定支出）</t>
        </is>
      </c>
      <c r="B3" s="136" t="n"/>
      <c r="C3" s="136" t="n"/>
      <c r="D3" s="136" t="n"/>
      <c r="E3" s="136" t="n"/>
      <c r="F3" s="136" t="n"/>
      <c r="G3" s="136" t="n"/>
      <c r="H3" s="137" t="n"/>
    </row>
    <row r="4" ht="15" customHeight="1" s="134">
      <c r="A4" s="160" t="inlineStr">
        <is>
          <t>序</t>
        </is>
      </c>
      <c r="B4" s="160" t="inlineStr">
        <is>
          <t>消費項目</t>
        </is>
      </c>
      <c r="C4" s="160" t="inlineStr">
        <is>
          <t>玉山</t>
        </is>
      </c>
      <c r="D4" s="160" t="inlineStr">
        <is>
          <t>聯邦</t>
        </is>
      </c>
      <c r="E4" s="160" t="inlineStr">
        <is>
          <t>中信</t>
        </is>
      </c>
      <c r="F4" s="160" t="inlineStr">
        <is>
          <t>國泰</t>
        </is>
      </c>
      <c r="G4" s="160" t="inlineStr">
        <is>
          <t>台新</t>
        </is>
      </c>
      <c r="H4" s="160" t="inlineStr">
        <is>
          <t>備註</t>
        </is>
      </c>
    </row>
    <row r="5" ht="15" customHeight="1" s="134">
      <c r="A5" s="46" t="n">
        <v>1</v>
      </c>
      <c r="B5" s="84" t="inlineStr">
        <is>
          <t>手機電信費</t>
        </is>
      </c>
      <c r="C5" s="252" t="n">
        <v>-499</v>
      </c>
      <c r="D5" s="192" t="n"/>
      <c r="E5" s="192" t="n"/>
      <c r="F5" s="192" t="n"/>
      <c r="G5" s="192" t="n"/>
      <c r="H5" s="140" t="n"/>
    </row>
    <row r="6" ht="16.5" customHeight="1" s="134">
      <c r="A6" s="46" t="n">
        <v>2</v>
      </c>
      <c r="B6" s="84" t="inlineStr">
        <is>
          <t>網路費(含家用電話)</t>
        </is>
      </c>
      <c r="C6" s="252" t="n">
        <v>-1099</v>
      </c>
      <c r="D6" s="192" t="n"/>
      <c r="E6" s="192" t="n"/>
      <c r="F6" s="192" t="n"/>
      <c r="G6" s="192" t="n"/>
      <c r="H6" s="140" t="n"/>
    </row>
    <row r="7" ht="15" customHeight="1" s="134">
      <c r="A7" s="46" t="n">
        <v>3</v>
      </c>
      <c r="B7" s="85" t="inlineStr">
        <is>
          <t>YouTube Premium</t>
        </is>
      </c>
      <c r="C7" s="192" t="n"/>
      <c r="D7" s="252" t="n">
        <v>-479</v>
      </c>
      <c r="E7" s="192" t="n"/>
      <c r="F7" s="192" t="n"/>
      <c r="G7" s="192" t="n"/>
      <c r="H7" s="140" t="n"/>
    </row>
    <row r="8" ht="15" customHeight="1" s="134">
      <c r="A8" s="46" t="n">
        <v>4</v>
      </c>
      <c r="B8" s="85" t="inlineStr">
        <is>
          <t>Google one</t>
        </is>
      </c>
      <c r="C8" s="192" t="n"/>
      <c r="D8" s="192" t="n"/>
      <c r="E8" s="192" t="n"/>
      <c r="F8" s="192" t="n"/>
      <c r="G8" s="192" t="n"/>
      <c r="H8" s="140" t="n"/>
    </row>
    <row r="9" ht="15" customHeight="1" s="134">
      <c r="A9" s="46" t="n">
        <v>5</v>
      </c>
      <c r="B9" s="85" t="inlineStr">
        <is>
          <t>Netflix</t>
        </is>
      </c>
      <c r="C9" s="192" t="n"/>
      <c r="D9" s="252" t="n">
        <v>-460</v>
      </c>
      <c r="E9" s="192" t="n"/>
      <c r="F9" s="192" t="n"/>
      <c r="G9" s="192" t="n"/>
      <c r="H9" s="140" t="n"/>
    </row>
    <row r="10" ht="15" customHeight="1" s="134">
      <c r="A10" s="46" t="n">
        <v>6</v>
      </c>
      <c r="B10" s="85" t="inlineStr">
        <is>
          <t>Apple music</t>
        </is>
      </c>
      <c r="C10" s="192" t="n"/>
      <c r="D10" s="252" t="n">
        <v>-165</v>
      </c>
      <c r="E10" s="192" t="n"/>
      <c r="F10" s="192" t="n"/>
      <c r="G10" s="192" t="n"/>
      <c r="H10" s="140" t="n"/>
    </row>
    <row r="11" ht="15" customHeight="1" s="134">
      <c r="A11" s="46" t="n">
        <v>7</v>
      </c>
      <c r="B11" s="84" t="inlineStr">
        <is>
          <t>富士山水</t>
        </is>
      </c>
      <c r="C11" s="192" t="n"/>
      <c r="D11" s="192" t="n"/>
      <c r="E11" s="252" t="n">
        <v>-2640</v>
      </c>
      <c r="F11" s="192" t="n"/>
      <c r="G11" s="192" t="n"/>
      <c r="H11" s="140" t="inlineStr">
        <is>
          <t>一個月4桶水</t>
        </is>
      </c>
    </row>
    <row r="12" ht="15" customHeight="1" s="134">
      <c r="A12" s="46" t="n">
        <v>8</v>
      </c>
      <c r="B12" s="84" t="inlineStr">
        <is>
          <t>酷澎</t>
        </is>
      </c>
      <c r="C12" s="192" t="n"/>
      <c r="D12" s="192" t="n"/>
      <c r="E12" s="192" t="n"/>
      <c r="F12" s="252" t="n">
        <v>-59</v>
      </c>
      <c r="G12" s="192" t="n"/>
      <c r="H12" s="140" t="n"/>
    </row>
    <row r="13"/>
    <row r="14" ht="21.75" customHeight="1" s="134">
      <c r="A14" s="135" t="inlineStr">
        <is>
          <t>信用卡明細（非固定支出）</t>
        </is>
      </c>
      <c r="B14" s="136" t="n"/>
      <c r="C14" s="136" t="n"/>
      <c r="D14" s="136" t="n"/>
      <c r="E14" s="136" t="n"/>
      <c r="F14" s="136" t="n"/>
      <c r="G14" s="136" t="n"/>
      <c r="H14" s="137" t="n"/>
    </row>
    <row r="15" ht="15" customHeight="1" s="134">
      <c r="A15" s="160" t="inlineStr">
        <is>
          <t>序</t>
        </is>
      </c>
      <c r="B15" s="160" t="inlineStr">
        <is>
          <t>消費項目</t>
        </is>
      </c>
      <c r="C15" s="160" t="inlineStr">
        <is>
          <t>玉山</t>
        </is>
      </c>
      <c r="D15" s="160" t="inlineStr">
        <is>
          <t>聯邦</t>
        </is>
      </c>
      <c r="E15" s="160" t="inlineStr">
        <is>
          <t>中信</t>
        </is>
      </c>
      <c r="F15" s="160" t="inlineStr">
        <is>
          <t>國泰</t>
        </is>
      </c>
      <c r="G15" s="160" t="inlineStr">
        <is>
          <t>台新</t>
        </is>
      </c>
      <c r="H15" s="160" t="inlineStr">
        <is>
          <t>備註</t>
        </is>
      </c>
    </row>
    <row r="16" ht="15" customHeight="1" s="134">
      <c r="A16" s="46" t="n">
        <v>1</v>
      </c>
      <c r="B16" s="84" t="inlineStr">
        <is>
          <t>猛健樂</t>
        </is>
      </c>
      <c r="C16" s="192" t="n"/>
      <c r="D16" s="192" t="n"/>
      <c r="E16" s="192" t="n"/>
      <c r="F16" s="192" t="n"/>
      <c r="G16" s="252" t="n">
        <v>-3250</v>
      </c>
      <c r="H16" s="27" t="inlineStr">
        <is>
          <t>12期，1150314起</t>
        </is>
      </c>
    </row>
    <row r="17"/>
    <row r="18" ht="15" customHeight="1" s="134">
      <c r="A18" s="168" t="inlineStr">
        <is>
          <t>各卡消費金額合計</t>
        </is>
      </c>
      <c r="B18" s="142" t="n"/>
      <c r="C18" s="172">
        <f>SUM(C5:C12)+SUM(C16:C16)</f>
        <v/>
      </c>
      <c r="D18" s="172">
        <f>SUM(D5:D12)+SUM(D16:D16)</f>
        <v/>
      </c>
      <c r="E18" s="172">
        <f>SUM(E5:E12)+SUM(E16:E16)</f>
        <v/>
      </c>
      <c r="F18" s="172">
        <f>SUM(F5:F12)+SUM(F16:F16)</f>
        <v/>
      </c>
      <c r="G18" s="172">
        <f>SUM(G5:G12)+SUM(G16:G16)</f>
        <v/>
      </c>
      <c r="H18" s="155" t="n"/>
    </row>
    <row r="19" ht="15" customHeight="1" s="134">
      <c r="A19" s="168" t="inlineStr">
        <is>
          <t>信用卡費總計</t>
        </is>
      </c>
      <c r="B19" s="142" t="n"/>
      <c r="C19" s="194" t="n"/>
      <c r="D19" s="141" t="n"/>
      <c r="E19" s="141" t="n"/>
      <c r="F19" s="142" t="n"/>
      <c r="G19" s="172">
        <f>SUM(C18:G18)</f>
        <v/>
      </c>
    </row>
    <row r="20"/>
    <row r="21" ht="21.75" customHeight="1" s="134">
      <c r="A21" s="135" t="inlineStr">
        <is>
          <t>每年龐大固定支出（非月繳，需分月預留）</t>
        </is>
      </c>
      <c r="B21" s="136" t="n"/>
      <c r="C21" s="136" t="n"/>
      <c r="D21" s="136" t="n"/>
      <c r="E21" s="136" t="n"/>
      <c r="F21" s="136" t="n"/>
      <c r="G21" s="136" t="n"/>
      <c r="H21" s="137" t="n"/>
    </row>
    <row r="22" ht="15" customHeight="1" s="134">
      <c r="A22" s="160" t="inlineStr">
        <is>
          <t>序</t>
        </is>
      </c>
      <c r="B22" s="160" t="inlineStr">
        <is>
          <t>支出項目</t>
        </is>
      </c>
      <c r="C22" s="160" t="inlineStr">
        <is>
          <t>金額</t>
        </is>
      </c>
      <c r="D22" s="160" t="inlineStr">
        <is>
          <t>繳費月份</t>
        </is>
      </c>
      <c r="E22" s="214" t="inlineStr">
        <is>
          <t>銀行/備註</t>
        </is>
      </c>
      <c r="F22" s="141" t="n"/>
      <c r="G22" s="141" t="n"/>
      <c r="H22" s="142" t="n"/>
    </row>
    <row r="23" ht="16.5" customHeight="1" s="134">
      <c r="A23" s="46" t="n">
        <v>1</v>
      </c>
      <c r="B23" s="84" t="inlineStr">
        <is>
          <t>潘寧保險</t>
        </is>
      </c>
      <c r="C23" s="252" t="n">
        <v>21096</v>
      </c>
      <c r="D23" s="53" t="inlineStr">
        <is>
          <t>7月</t>
        </is>
      </c>
      <c r="E23" s="215" t="inlineStr">
        <is>
          <t>已併入「育兒費」月支出計算，此處僅供繳費月份參考，不計入右方合計</t>
        </is>
      </c>
      <c r="F23" s="141" t="n"/>
      <c r="G23" s="141" t="n"/>
      <c r="H23" s="142" t="n"/>
    </row>
    <row r="24" ht="16.5" customHeight="1" s="134">
      <c r="A24" s="46" t="n">
        <v>2</v>
      </c>
      <c r="B24" s="84" t="inlineStr">
        <is>
          <t>潘維保險</t>
        </is>
      </c>
      <c r="C24" s="252" t="n">
        <v>24888</v>
      </c>
      <c r="D24" s="53" t="inlineStr">
        <is>
          <t>3月</t>
        </is>
      </c>
      <c r="E24" s="215" t="inlineStr">
        <is>
          <t>已併入「育兒費」月支出計算，此處僅供繳費月份參考，不計入右方合計</t>
        </is>
      </c>
      <c r="F24" s="141" t="n"/>
      <c r="G24" s="141" t="n"/>
      <c r="H24" s="142" t="n"/>
    </row>
    <row r="25" ht="16.5" customHeight="1" s="134">
      <c r="A25" s="46" t="n">
        <v>3</v>
      </c>
      <c r="B25" s="84" t="inlineStr">
        <is>
          <t>汽車保險</t>
        </is>
      </c>
      <c r="C25" s="252" t="n">
        <v>26735</v>
      </c>
      <c r="D25" s="53" t="inlineStr">
        <is>
          <t>7月</t>
        </is>
      </c>
      <c r="E25" s="170" t="inlineStr">
        <is>
          <t>聯邦</t>
        </is>
      </c>
      <c r="F25" s="141" t="n"/>
      <c r="G25" s="141" t="n"/>
      <c r="H25" s="142" t="n"/>
    </row>
    <row r="26" ht="16.5" customHeight="1" s="134">
      <c r="A26" s="46" t="n">
        <v>4</v>
      </c>
      <c r="B26" s="84" t="inlineStr">
        <is>
          <t>機車保險</t>
        </is>
      </c>
      <c r="C26" s="252" t="n">
        <v>3189</v>
      </c>
      <c r="D26" s="53" t="inlineStr">
        <is>
          <t>7月</t>
        </is>
      </c>
      <c r="E26" s="170" t="n"/>
      <c r="F26" s="141" t="n"/>
      <c r="G26" s="141" t="n"/>
      <c r="H26" s="142" t="n"/>
    </row>
    <row r="27" ht="16.5" customHeight="1" s="134">
      <c r="A27" s="46" t="n">
        <v>5</v>
      </c>
      <c r="B27" s="84" t="inlineStr">
        <is>
          <t>汽車牌照稅</t>
        </is>
      </c>
      <c r="C27" s="252" t="n">
        <v>11230</v>
      </c>
      <c r="D27" s="53" t="inlineStr">
        <is>
          <t>4月</t>
        </is>
      </c>
      <c r="E27" s="170" t="n"/>
      <c r="F27" s="141" t="n"/>
      <c r="G27" s="141" t="n"/>
      <c r="H27" s="142" t="n"/>
    </row>
    <row r="28" ht="16.5" customHeight="1" s="134">
      <c r="A28" s="46" t="n">
        <v>6</v>
      </c>
      <c r="B28" s="84" t="inlineStr">
        <is>
          <t>機車牌照稅</t>
        </is>
      </c>
      <c r="C28" s="252" t="n">
        <v>800</v>
      </c>
      <c r="D28" s="53" t="inlineStr">
        <is>
          <t>4月</t>
        </is>
      </c>
      <c r="E28" s="170" t="n"/>
      <c r="F28" s="141" t="n"/>
      <c r="G28" s="141" t="n"/>
      <c r="H28" s="142" t="n"/>
    </row>
    <row r="29" ht="16.5" customHeight="1" s="134">
      <c r="A29" s="46" t="n">
        <v>7</v>
      </c>
      <c r="B29" s="84" t="inlineStr">
        <is>
          <t>汽車燃料稅</t>
        </is>
      </c>
      <c r="C29" s="252" t="n">
        <v>6180</v>
      </c>
      <c r="D29" s="53" t="inlineStr">
        <is>
          <t>7月</t>
        </is>
      </c>
      <c r="E29" s="170" t="n"/>
      <c r="F29" s="141" t="n"/>
      <c r="G29" s="141" t="n"/>
      <c r="H29" s="142" t="n"/>
    </row>
    <row r="30" ht="16.5" customHeight="1" s="134">
      <c r="A30" s="46" t="n">
        <v>8</v>
      </c>
      <c r="B30" s="84" t="inlineStr">
        <is>
          <t>機車燃料稅</t>
        </is>
      </c>
      <c r="C30" s="252" t="n">
        <v>600</v>
      </c>
      <c r="D30" s="53" t="inlineStr">
        <is>
          <t>7月</t>
        </is>
      </c>
      <c r="E30" s="170" t="n"/>
      <c r="F30" s="141" t="n"/>
      <c r="G30" s="141" t="n"/>
      <c r="H30" s="142" t="n"/>
    </row>
    <row r="31" ht="16.5" customHeight="1" s="134">
      <c r="A31" s="46" t="n">
        <v>9</v>
      </c>
      <c r="B31" s="84" t="inlineStr">
        <is>
          <t>房屋稅</t>
        </is>
      </c>
      <c r="C31" s="192" t="n"/>
      <c r="D31" s="53" t="inlineStr">
        <is>
          <t>5月</t>
        </is>
      </c>
      <c r="E31" s="170" t="n"/>
      <c r="F31" s="141" t="n"/>
      <c r="G31" s="141" t="n"/>
      <c r="H31" s="142" t="n"/>
    </row>
    <row r="32" ht="16.5" customHeight="1" s="134">
      <c r="A32" s="46" t="n">
        <v>10</v>
      </c>
      <c r="B32" s="84" t="inlineStr">
        <is>
          <t>地價稅</t>
        </is>
      </c>
      <c r="C32" s="192" t="n"/>
      <c r="D32" s="53" t="inlineStr">
        <is>
          <t>7月</t>
        </is>
      </c>
      <c r="E32" s="170" t="n"/>
      <c r="F32" s="141" t="n"/>
      <c r="G32" s="141" t="n"/>
      <c r="H32" s="142" t="n"/>
    </row>
    <row r="33" ht="16.5" customHeight="1" s="134">
      <c r="A33" s="46" t="n">
        <v>11</v>
      </c>
      <c r="B33" s="84" t="inlineStr">
        <is>
          <t>火災地震險</t>
        </is>
      </c>
      <c r="C33" s="252" t="n">
        <v>2652</v>
      </c>
      <c r="D33" s="53" t="inlineStr">
        <is>
          <t>3月</t>
        </is>
      </c>
      <c r="E33" s="170" t="n"/>
      <c r="F33" s="141" t="n"/>
      <c r="G33" s="141" t="n"/>
      <c r="H33" s="142" t="n"/>
    </row>
    <row r="34" ht="15" customHeight="1" s="134">
      <c r="A34" s="46" t="n">
        <v>12</v>
      </c>
      <c r="B34" s="84" t="inlineStr">
        <is>
          <t>潘寧國小註冊費</t>
        </is>
      </c>
      <c r="C34" s="192" t="n"/>
      <c r="D34" s="46" t="n"/>
      <c r="E34" s="170" t="inlineStr">
        <is>
          <t>待填</t>
        </is>
      </c>
      <c r="F34" s="141" t="n"/>
      <c r="G34" s="141" t="n"/>
      <c r="H34" s="142" t="n"/>
    </row>
    <row r="35" ht="16.5" customHeight="1" s="134">
      <c r="A35" s="46" t="n">
        <v>13</v>
      </c>
      <c r="B35" s="84" t="inlineStr">
        <is>
          <t>潘維幼稚園註冊費</t>
        </is>
      </c>
      <c r="C35" s="252" t="n">
        <v>17100</v>
      </c>
      <c r="D35" s="53" t="inlineStr">
        <is>
          <t>6月</t>
        </is>
      </c>
      <c r="E35" s="170" t="n"/>
      <c r="F35" s="141" t="n"/>
      <c r="G35" s="141" t="n"/>
      <c r="H35" s="142" t="n"/>
    </row>
    <row r="36" ht="15" customHeight="1" s="134">
      <c r="A36" s="168" t="inlineStr">
        <is>
          <t>年度固定支出合計</t>
        </is>
      </c>
      <c r="B36" s="142" t="n"/>
      <c r="C36" s="172">
        <f>SUM(C23:C35)-C23-C24</f>
        <v/>
      </c>
      <c r="D36" s="3" t="inlineStr">
        <is>
          <t>月均攤提</t>
        </is>
      </c>
      <c r="E36" s="216">
        <f>C36/12</f>
        <v/>
      </c>
      <c r="F36" s="141" t="n"/>
      <c r="G36" s="141" t="n"/>
      <c r="H36" s="142" t="n"/>
    </row>
    <row r="37" ht="13.5" customHeight="1" s="134">
      <c r="A37" s="148" t="inlineStr">
        <is>
          <t>備註：建議年終獎金先提撥12萬存入專戶，作為保險費專款專用的保留額度（獨立於左方合計數字，不隨明細增減自動調整）</t>
        </is>
      </c>
    </row>
    <row r="38"/>
    <row r="39" ht="21.75" customHeight="1" s="134">
      <c r="A39" s="135" t="inlineStr">
        <is>
          <t>💡 使用說明</t>
        </is>
      </c>
      <c r="B39" s="136" t="n"/>
      <c r="C39" s="136" t="n"/>
      <c r="D39" s="136" t="n"/>
      <c r="E39" s="136" t="n"/>
      <c r="F39" s="136" t="n"/>
      <c r="G39" s="136" t="n"/>
      <c r="H39" s="137" t="n"/>
    </row>
    <row r="40" ht="27.75" customHeight="1" s="134">
      <c r="B40" s="138" t="inlineStr">
        <is>
          <t>「信用卡費總計」會自動連結到「收支明細」分頁的月支出；「年度固定支出」不計入月支出，屬於需另外預留的年度性支出。</t>
        </is>
      </c>
    </row>
  </sheetData>
  <mergeCells count="26">
    <mergeCell ref="E26:H26"/>
    <mergeCell ref="A39:H39"/>
    <mergeCell ref="B40:H40"/>
    <mergeCell ref="A36:B36"/>
    <mergeCell ref="E25:H25"/>
    <mergeCell ref="A1:H1"/>
    <mergeCell ref="C19:F19"/>
    <mergeCell ref="E32:H32"/>
    <mergeCell ref="E22:H22"/>
    <mergeCell ref="A37:H37"/>
    <mergeCell ref="E33:H33"/>
    <mergeCell ref="A18:B18"/>
    <mergeCell ref="E24:H24"/>
    <mergeCell ref="A3:H3"/>
    <mergeCell ref="A21:H21"/>
    <mergeCell ref="E23:H23"/>
    <mergeCell ref="E35:H35"/>
    <mergeCell ref="E29:H29"/>
    <mergeCell ref="A14:H14"/>
    <mergeCell ref="E28:H28"/>
    <mergeCell ref="E31:H31"/>
    <mergeCell ref="E34:H34"/>
    <mergeCell ref="A19:B19"/>
    <mergeCell ref="E30:H30"/>
    <mergeCell ref="E27:H27"/>
    <mergeCell ref="E36:H36"/>
  </mergeCells>
  <printOptions horizontalCentered="1"/>
  <pageMargins left="0.4" right="0.4" top="0.5" bottom="0.5" header="0.511811023622047" footer="0.511811023622047"/>
  <pageSetup orientation="landscape" paperSize="9" fitToHeight="0" horizontalDpi="300" verticalDpi="300"/>
</worksheet>
</file>

<file path=xl/worksheets/sheet9.xml><?xml version="1.0" encoding="utf-8"?>
<worksheet xmlns="http://schemas.openxmlformats.org/spreadsheetml/2006/main">
  <sheetPr>
    <tabColor rgb="FFC0504D"/>
    <outlinePr summaryBelow="1" summaryRight="1"/>
    <pageSetUpPr fitToPage="1"/>
  </sheetPr>
  <dimension ref="A1:M25"/>
  <sheetViews>
    <sheetView showGridLines="0" zoomScaleNormal="100" workbookViewId="0">
      <pane ySplit="4" topLeftCell="A5" activePane="bottomLeft" state="frozen"/>
      <selection activeCell="D12" sqref="D12:F12"/>
      <selection pane="bottomLeft" activeCell="A12" sqref="A12:M12"/>
    </sheetView>
  </sheetViews>
  <sheetFormatPr baseColWidth="8" defaultColWidth="8.6640625" defaultRowHeight="14.25"/>
  <cols>
    <col width="6" customWidth="1" style="134" min="1" max="1"/>
    <col width="22" customWidth="1" style="134" min="2" max="2"/>
    <col width="8" customWidth="1" style="134" min="3" max="3"/>
    <col width="12" customWidth="1" style="134" min="4" max="4"/>
    <col width="14" customWidth="1" style="134" min="5" max="5"/>
    <col width="9" customWidth="1" style="134" min="6" max="6"/>
    <col width="8" customWidth="1" style="134" min="7" max="7"/>
    <col width="13" customWidth="1" style="134" min="8" max="8"/>
    <col width="10" customWidth="1" style="134" min="9" max="9"/>
    <col width="13" customWidth="1" style="134" min="10" max="11"/>
    <col width="13" customWidth="1" style="134" min="11" max="11"/>
    <col width="14" customWidth="1" style="134" min="12" max="12"/>
    <col width="50" customWidth="1" style="134" min="13" max="13"/>
  </cols>
  <sheetData>
    <row r="1" ht="31.5" customHeight="1" s="134">
      <c r="A1" s="153" t="inlineStr">
        <is>
          <t>🏦  貸款總覽</t>
        </is>
      </c>
      <c r="B1" s="136" t="n"/>
      <c r="C1" s="136" t="n"/>
      <c r="D1" s="136" t="n"/>
      <c r="E1" s="136" t="n"/>
      <c r="F1" s="136" t="n"/>
      <c r="G1" s="136" t="n"/>
      <c r="H1" s="136" t="n"/>
      <c r="I1" s="136" t="n"/>
      <c r="J1" s="136" t="n"/>
      <c r="K1" s="136" t="n"/>
      <c r="L1" s="136" t="n"/>
      <c r="M1" s="137" t="n"/>
    </row>
    <row r="2"/>
    <row r="3" ht="21.75" customHeight="1" s="134">
      <c r="A3" s="135" t="inlineStr">
        <is>
          <t>各項貸款明細（起始日期填寫後，已繳期數與理論剩餘本金自動試算）</t>
        </is>
      </c>
      <c r="B3" s="136" t="n"/>
      <c r="C3" s="136" t="n"/>
      <c r="D3" s="136" t="n"/>
      <c r="E3" s="136" t="n"/>
      <c r="F3" s="136" t="n"/>
      <c r="G3" s="136" t="n"/>
      <c r="H3" s="136" t="n"/>
      <c r="I3" s="136" t="n"/>
      <c r="J3" s="136" t="n"/>
      <c r="K3" s="136" t="n"/>
      <c r="L3" s="136" t="n"/>
      <c r="M3" s="137" t="n"/>
    </row>
    <row r="4" ht="27.75" customHeight="1" s="134">
      <c r="A4" s="29" t="inlineStr">
        <is>
          <t>序</t>
        </is>
      </c>
      <c r="B4" s="29" t="inlineStr">
        <is>
          <t>貸款名稱</t>
        </is>
      </c>
      <c r="C4" s="29" t="inlineStr">
        <is>
          <t>區域</t>
        </is>
      </c>
      <c r="D4" s="29" t="inlineStr">
        <is>
          <t>金融機構</t>
        </is>
      </c>
      <c r="E4" s="29" t="inlineStr">
        <is>
          <t>原始金額</t>
        </is>
      </c>
      <c r="F4" s="29" t="inlineStr">
        <is>
          <t>年利率</t>
        </is>
      </c>
      <c r="G4" s="29" t="inlineStr">
        <is>
          <t>期間(年)</t>
        </is>
      </c>
      <c r="H4" s="29" t="inlineStr">
        <is>
          <t>起始日期(選填,YYYY/M/1)</t>
        </is>
      </c>
      <c r="I4" s="29" t="inlineStr">
        <is>
          <t>已繳期數</t>
        </is>
      </c>
      <c r="J4" s="29" t="inlineStr">
        <is>
          <t>理論月繳(PMT)</t>
        </is>
      </c>
      <c r="K4" s="29" t="inlineStr">
        <is>
          <t>實際月繳</t>
        </is>
      </c>
      <c r="L4" s="29" t="inlineStr">
        <is>
          <t>理論剩餘本金</t>
        </is>
      </c>
      <c r="M4" s="29" t="inlineStr">
        <is>
          <t>備註</t>
        </is>
      </c>
    </row>
    <row r="5" ht="15" customHeight="1" s="134">
      <c r="A5" s="30" t="n">
        <v>1</v>
      </c>
      <c r="B5" s="20" t="inlineStr">
        <is>
          <t>北區原房貸</t>
        </is>
      </c>
      <c r="C5" s="31" t="inlineStr">
        <is>
          <t>北區</t>
        </is>
      </c>
      <c r="D5" s="32" t="inlineStr">
        <is>
          <t>元大銀行</t>
        </is>
      </c>
      <c r="E5" s="264" t="n">
        <v>8030000</v>
      </c>
      <c r="F5" s="265" t="n">
        <v>0.0266</v>
      </c>
      <c r="G5" s="32" t="n">
        <v>30</v>
      </c>
      <c r="H5" s="35" t="n">
        <v>46139</v>
      </c>
      <c r="I5" s="266">
        <f>IF(H5="","",DATEDIF(H5,TODAY(),"m"))</f>
        <v/>
      </c>
      <c r="J5" s="267">
        <f>-PMT(F5/12,G5*12,E5)</f>
        <v/>
      </c>
      <c r="K5" s="264" t="n">
        <v>-32400</v>
      </c>
      <c r="L5" s="267">
        <f>IF(H5="",E5,E5*((1+F5/12)^(G5*12)-(1+F5/12)^I5)/((1+F5/12)^(G5*12)-1))</f>
        <v/>
      </c>
      <c r="M5" s="38" t="inlineStr">
        <is>
          <t>803萬，30年期，利率2.66%</t>
        </is>
      </c>
    </row>
    <row r="6" ht="15" customHeight="1" s="134">
      <c r="A6" s="30" t="n">
        <v>2</v>
      </c>
      <c r="B6" s="20" t="inlineStr">
        <is>
          <t>北區理財型房貸</t>
        </is>
      </c>
      <c r="C6" s="31" t="inlineStr">
        <is>
          <t>北區</t>
        </is>
      </c>
      <c r="D6" s="32" t="inlineStr">
        <is>
          <t>元大銀行</t>
        </is>
      </c>
      <c r="E6" s="264" t="n">
        <v>8810000</v>
      </c>
      <c r="F6" s="265" t="n">
        <v>0.0255</v>
      </c>
      <c r="G6" s="32" t="n">
        <v>30</v>
      </c>
      <c r="H6" s="35" t="n">
        <v>46139</v>
      </c>
      <c r="I6" s="266">
        <f>IF(H6="","",DATEDIF(H6,TODAY(),"m"))</f>
        <v/>
      </c>
      <c r="J6" s="267">
        <f>-PMT(F6/12,G6*12,E6)</f>
        <v/>
      </c>
      <c r="K6" s="264" t="n">
        <v>-35040</v>
      </c>
      <c r="L6" s="267">
        <f>IF(H6="",E6,E6*((1+F6/12)^(G6*12)-(1+F6/12)^I6)/((1+F6/12)^(G6*12)-1))</f>
        <v/>
      </c>
      <c r="M6" s="38" t="inlineStr">
        <is>
          <t>881萬(內含合庫房貸壽)，30年期，2.55%</t>
        </is>
      </c>
    </row>
    <row r="7" ht="15" customHeight="1" s="134">
      <c r="A7" s="39" t="n">
        <v>3</v>
      </c>
      <c r="B7" s="23" t="inlineStr">
        <is>
          <t>東區房貸</t>
        </is>
      </c>
      <c r="C7" s="40" t="inlineStr">
        <is>
          <t>東區</t>
        </is>
      </c>
      <c r="D7" s="41" t="inlineStr">
        <is>
          <t>元大銀行</t>
        </is>
      </c>
      <c r="E7" s="268" t="n">
        <v>5985000</v>
      </c>
      <c r="F7" s="269" t="n">
        <v>0.0255</v>
      </c>
      <c r="G7" s="41" t="n">
        <v>30</v>
      </c>
      <c r="H7" s="35" t="n">
        <v>46261</v>
      </c>
      <c r="I7" s="270">
        <f>IF(H7="","",DATEDIF(H7,TODAY(),"m"))</f>
        <v/>
      </c>
      <c r="J7" s="271">
        <f>-PMT(F7/12,G7*12,E7)</f>
        <v/>
      </c>
      <c r="K7" s="268" t="n">
        <v>-23804</v>
      </c>
      <c r="L7" s="271">
        <f>IF(H7="",E7,E7*((1+F7/12)^(G7*12)-(1+F7/12)^I7)/((1+F7/12)^(G7*12)-1))</f>
        <v/>
      </c>
      <c r="M7" s="26" t="inlineStr">
        <is>
          <t>東京都涉谷區原屋融貸598.5萬</t>
        </is>
      </c>
    </row>
    <row r="8" ht="15" customHeight="1" s="134">
      <c r="A8" s="17" t="n">
        <v>4</v>
      </c>
      <c r="B8" s="143" t="inlineStr">
        <is>
          <t>車貸</t>
        </is>
      </c>
      <c r="C8" s="17" t="inlineStr">
        <is>
          <t>-</t>
        </is>
      </c>
      <c r="D8" s="46" t="inlineStr">
        <is>
          <t>元大銀行</t>
        </is>
      </c>
      <c r="E8" s="252" t="n">
        <v>1400000</v>
      </c>
      <c r="F8" s="272" t="n">
        <v>0.0235</v>
      </c>
      <c r="G8" s="46" t="n">
        <v>6</v>
      </c>
      <c r="H8" s="35" t="n">
        <v>46233</v>
      </c>
      <c r="I8" s="273">
        <f>IF(H8="","",DATEDIF(H8,TODAY(),"m"))</f>
        <v/>
      </c>
      <c r="J8" s="246">
        <f>-PMT(F8/12,G8*12,E8)</f>
        <v/>
      </c>
      <c r="K8" s="252" t="n">
        <v>-20892</v>
      </c>
      <c r="L8" s="246">
        <f>IF(H8="",E8,E8*((1+F8/12)^(G8*12)-(1+F8/12)^I8)/((1+F8/12)^(G8*12)-1))</f>
        <v/>
      </c>
      <c r="M8" s="27" t="inlineStr">
        <is>
          <t>140萬，6年期，利率2.35%</t>
        </is>
      </c>
    </row>
    <row r="9" ht="15" customHeight="1" s="134">
      <c r="A9" s="17" t="n">
        <v>5</v>
      </c>
      <c r="B9" s="143" t="inlineStr">
        <is>
          <t>信貸</t>
        </is>
      </c>
      <c r="C9" s="17" t="inlineStr">
        <is>
          <t>-</t>
        </is>
      </c>
      <c r="D9" s="46" t="inlineStr">
        <is>
          <t>將來銀行</t>
        </is>
      </c>
      <c r="E9" s="252" t="n">
        <v>200000</v>
      </c>
      <c r="F9" s="272" t="n">
        <v>0.0188</v>
      </c>
      <c r="G9" s="46" t="n">
        <v>3</v>
      </c>
      <c r="H9" s="35" t="n">
        <v>45880</v>
      </c>
      <c r="I9" s="273">
        <f>IF(H9="","",DATEDIF(H9,TODAY(),"m"))</f>
        <v/>
      </c>
      <c r="J9" s="246">
        <f>-PMT(F9/12,G9*12,E9)</f>
        <v/>
      </c>
      <c r="K9" s="252" t="n">
        <v>-5718</v>
      </c>
      <c r="L9" s="246">
        <f>IF(H9="",E9,E9*((1+F9/12)^(G9*12)-(1+F9/12)^I9)/((1+F9/12)^(G9*12)-1))</f>
        <v/>
      </c>
      <c r="M9" s="27" t="inlineStr">
        <is>
          <t>20萬，36期，利率1.88%，每月11號繳</t>
        </is>
      </c>
    </row>
    <row r="10" ht="15" customHeight="1" s="134">
      <c r="A10" s="168" t="inlineStr">
        <is>
          <t>合計</t>
        </is>
      </c>
      <c r="B10" s="141" t="n"/>
      <c r="C10" s="142" t="n"/>
      <c r="D10" s="155" t="n"/>
      <c r="E10" s="172">
        <f>SUM(E5:E9)</f>
        <v/>
      </c>
      <c r="F10" s="155" t="n"/>
      <c r="G10" s="155" t="n"/>
      <c r="H10" s="155" t="n"/>
      <c r="I10" s="155" t="n"/>
      <c r="J10" s="172">
        <f>SUM(J5:J9)</f>
        <v/>
      </c>
      <c r="K10" s="172">
        <f>SUM(K5:K9)</f>
        <v/>
      </c>
      <c r="L10" s="172">
        <f>SUM(L5:L9)</f>
        <v/>
      </c>
      <c r="M10" s="155" t="n"/>
    </row>
    <row r="11"/>
    <row r="12" ht="21.75" customHeight="1" s="134">
      <c r="A12" s="135" t="inlineStr">
        <is>
          <t>壽險保費（非貸款本金，隨貸款月繳一併攤提；剩餘保費採直線攤還法）</t>
        </is>
      </c>
      <c r="B12" s="136" t="n"/>
      <c r="C12" s="136" t="n"/>
      <c r="D12" s="136" t="n"/>
      <c r="E12" s="136" t="n"/>
      <c r="F12" s="136" t="n"/>
      <c r="G12" s="136" t="n"/>
      <c r="H12" s="136" t="n"/>
      <c r="I12" s="136" t="n"/>
      <c r="J12" s="136" t="n"/>
      <c r="K12" s="136" t="n"/>
      <c r="L12" s="136" t="n"/>
      <c r="M12" s="137" t="n"/>
    </row>
    <row r="13" ht="27.75" customHeight="1" s="134">
      <c r="A13" s="29" t="inlineStr">
        <is>
          <t>序</t>
        </is>
      </c>
      <c r="B13" s="29" t="inlineStr">
        <is>
          <t>保單名稱</t>
        </is>
      </c>
      <c r="C13" s="29" t="inlineStr">
        <is>
          <t>區域</t>
        </is>
      </c>
      <c r="D13" s="29" t="inlineStr">
        <is>
          <t>保額</t>
        </is>
      </c>
      <c r="E13" s="29" t="inlineStr">
        <is>
          <t>保費</t>
        </is>
      </c>
      <c r="F13" s="29" t="inlineStr">
        <is>
          <t>期間(年)</t>
        </is>
      </c>
      <c r="G13" s="29" t="n"/>
      <c r="H13" s="29" t="inlineStr">
        <is>
          <t>起始日期(比照同區域房貸)</t>
        </is>
      </c>
      <c r="I13" s="29" t="inlineStr">
        <is>
          <t>已繳期數</t>
        </is>
      </c>
      <c r="J13" s="29" t="n"/>
      <c r="K13" s="29" t="inlineStr">
        <is>
          <t>月攤提</t>
        </is>
      </c>
      <c r="L13" s="29" t="inlineStr">
        <is>
          <t>剩餘保費(直線法)</t>
        </is>
      </c>
      <c r="M13" s="29" t="inlineStr">
        <is>
          <t>備註</t>
        </is>
      </c>
    </row>
    <row r="14" ht="32" customHeight="1" s="134">
      <c r="A14" s="30" t="n">
        <v>1</v>
      </c>
      <c r="B14" s="20" t="inlineStr">
        <is>
          <t>北區房貸壽險</t>
        </is>
      </c>
      <c r="C14" s="31" t="inlineStr">
        <is>
          <t>北區</t>
        </is>
      </c>
      <c r="D14" s="264" t="n">
        <v>8000000</v>
      </c>
      <c r="E14" s="264" t="n">
        <v>580000</v>
      </c>
      <c r="F14" s="32" t="n">
        <v>20</v>
      </c>
      <c r="G14" s="30" t="n"/>
      <c r="H14" s="35" t="n">
        <v>46139</v>
      </c>
      <c r="I14" s="266">
        <f>IF(H14="","",DATEDIF(H14,TODAY(),"m"))</f>
        <v/>
      </c>
      <c r="J14" s="30" t="n"/>
      <c r="K14" s="264" t="n">
        <v>-2299</v>
      </c>
      <c r="L14" s="267">
        <f>IF(H14="",E14,E14*MAX(0,F14*12-I14)/(F14*12))</f>
        <v/>
      </c>
      <c r="M14" s="121" t="inlineStr">
        <is>
          <t>平準型，保障20年，保費58萬；起始日同北區理財型房貸</t>
        </is>
      </c>
    </row>
    <row r="15" ht="32" customHeight="1" s="134">
      <c r="A15" s="39" t="n">
        <v>2</v>
      </c>
      <c r="B15" s="23" t="inlineStr">
        <is>
          <t>東區房貸壽險</t>
        </is>
      </c>
      <c r="C15" s="40" t="inlineStr">
        <is>
          <t>東區</t>
        </is>
      </c>
      <c r="D15" s="268" t="n">
        <v>10440000</v>
      </c>
      <c r="E15" s="268" t="n">
        <v>414625</v>
      </c>
      <c r="F15" s="41" t="n">
        <v>25</v>
      </c>
      <c r="G15" s="39" t="n"/>
      <c r="H15" s="35" t="n">
        <v>46261</v>
      </c>
      <c r="I15" s="270">
        <f>IF(H15="","",DATEDIF(H15,TODAY(),"m"))</f>
        <v/>
      </c>
      <c r="J15" s="39" t="n"/>
      <c r="K15" s="268" t="n">
        <v>-1651</v>
      </c>
      <c r="L15" s="271">
        <f>IF(H15="",E15,E15*MAX(0,F15*12-I15)/(F15*12))</f>
        <v/>
      </c>
      <c r="M15" s="122" t="inlineStr">
        <is>
          <t>平準型，保障25年；總保費82萬9249元與弟弟共同分攤，本人負擔41萬4625元；起始日同東區房貸</t>
        </is>
      </c>
    </row>
    <row r="16" ht="15" customHeight="1" s="134">
      <c r="A16" s="168" t="inlineStr">
        <is>
          <t>壽險合計</t>
        </is>
      </c>
      <c r="B16" s="141" t="n"/>
      <c r="C16" s="142" t="n"/>
      <c r="D16" s="155" t="n"/>
      <c r="E16" s="172">
        <f>SUM(E14:E15)</f>
        <v/>
      </c>
      <c r="F16" s="155" t="n"/>
      <c r="G16" s="155" t="n"/>
      <c r="H16" s="155" t="n"/>
      <c r="I16" s="155" t="n"/>
      <c r="J16" s="155" t="n"/>
      <c r="K16" s="172">
        <f>SUM(K14:K15)</f>
        <v/>
      </c>
      <c r="L16" s="172">
        <f>SUM(L14:L15)</f>
        <v/>
      </c>
      <c r="M16" s="155" t="n"/>
    </row>
    <row r="17"/>
    <row r="18" ht="21.75" customHeight="1" s="134">
      <c r="A18" s="135" t="inlineStr">
        <is>
          <t>📌 貸款+壽險 月繳總額（與收支明細一致）</t>
        </is>
      </c>
      <c r="B18" s="136" t="n"/>
      <c r="C18" s="136" t="n"/>
      <c r="D18" s="136" t="n"/>
      <c r="E18" s="136" t="n"/>
      <c r="F18" s="136" t="n"/>
      <c r="G18" s="136" t="n"/>
      <c r="H18" s="136" t="n"/>
      <c r="I18" s="136" t="n"/>
      <c r="J18" s="136" t="n"/>
      <c r="K18" s="136" t="n"/>
      <c r="L18" s="136" t="n"/>
      <c r="M18" s="137" t="n"/>
    </row>
    <row r="19" ht="16.5" customHeight="1" s="134">
      <c r="A19" s="168" t="inlineStr">
        <is>
          <t>實際月繳總額(含壽險)</t>
        </is>
      </c>
      <c r="B19" s="141" t="n"/>
      <c r="C19" s="142" t="n"/>
      <c r="D19" s="194" t="n"/>
      <c r="E19" s="141" t="n"/>
      <c r="F19" s="141" t="n"/>
      <c r="G19" s="141" t="n"/>
      <c r="H19" s="141" t="n"/>
      <c r="I19" s="141" t="n"/>
      <c r="J19" s="142" t="n"/>
      <c r="K19" s="172">
        <f>K10+SUM(K14:K15)</f>
        <v/>
      </c>
      <c r="L19" s="155" t="n"/>
      <c r="M19" s="155" t="n"/>
    </row>
    <row r="20"/>
    <row r="21" ht="21.75" customHeight="1" s="134">
      <c r="A21" s="135" t="inlineStr">
        <is>
          <t>💡 使用說明</t>
        </is>
      </c>
      <c r="B21" s="136" t="n"/>
      <c r="C21" s="136" t="n"/>
      <c r="D21" s="136" t="n"/>
      <c r="E21" s="136" t="n"/>
      <c r="F21" s="136" t="n"/>
      <c r="G21" s="136" t="n"/>
      <c r="H21" s="136" t="n"/>
      <c r="I21" s="136" t="n"/>
      <c r="J21" s="136" t="n"/>
      <c r="K21" s="136" t="n"/>
      <c r="L21" s="136" t="n"/>
      <c r="M21" s="137" t="n"/>
    </row>
    <row r="22" ht="15.75" customHeight="1" s="134">
      <c r="B22" s="138" t="inlineStr">
        <is>
          <t>「起始日期」欄為選填：填入後，「已繳期數」與「理論剩餘本金」會依系統日期自動更新（每月會隨還款遞減）。</t>
        </is>
      </c>
    </row>
    <row r="23" ht="15.75" customHeight="1" s="134">
      <c r="B23" s="138" t="inlineStr">
        <is>
          <t>「理論剩餘本金」採標準年金攤還公式計算：本金×((1+月利率)^總期數-(1+月利率)^已繳期數)/((1+月利率)^總期數-1)；未填起始日期則以原始本金為保守估計。</t>
        </is>
      </c>
    </row>
    <row r="24" ht="15.75" customHeight="1" s="134">
      <c r="B24" s="138" t="inlineStr">
        <is>
          <t>「理論月繳(PMT)」由利率/期間/本金公式計算，供與銀行對帳單核對；「實際月繳」為銀行實際扣款金額，用於收支計算。</t>
        </is>
      </c>
    </row>
    <row r="25" ht="15.75" customHeight="1" s="134">
      <c r="B25" s="138" t="inlineStr">
        <is>
          <t>本表所有貸款金額、利率、期間、起始日期皆為使用者提供之原始事實（藍字），僅總計與試算欄位（黑字/合計列）為公式計算。</t>
        </is>
      </c>
    </row>
  </sheetData>
  <mergeCells count="13">
    <mergeCell ref="A10:C10"/>
    <mergeCell ref="B24:M24"/>
    <mergeCell ref="A19:C19"/>
    <mergeCell ref="B25:M25"/>
    <mergeCell ref="A1:M1"/>
    <mergeCell ref="B23:M23"/>
    <mergeCell ref="A12:M12"/>
    <mergeCell ref="A18:M18"/>
    <mergeCell ref="B22:M22"/>
    <mergeCell ref="A3:M3"/>
    <mergeCell ref="A21:M21"/>
    <mergeCell ref="D19:J19"/>
    <mergeCell ref="A16:C16"/>
  </mergeCells>
  <printOptions horizontalCentered="1"/>
  <pageMargins left="0.4" right="0.4" top="0.5" bottom="0.5" header="0.511811023622047" footer="0.511811023622047"/>
  <pageSetup orientation="landscape" paperSize="9" fitToHeight="0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P633"/>
  <sheetViews>
    <sheetView showGridLines="0" tabSelected="1" zoomScaleNormal="100" workbookViewId="0">
      <pane ySplit="11" topLeftCell="A30" activePane="bottomLeft" state="frozen"/>
      <selection pane="bottomLeft" activeCell="N235" sqref="N235"/>
    </sheetView>
  </sheetViews>
  <sheetFormatPr baseColWidth="8" defaultColWidth="8.6640625" defaultRowHeight="14.25"/>
  <cols>
    <col width="11" customWidth="1" style="134" min="1" max="4"/>
    <col width="12" customWidth="1" style="134" min="5" max="6"/>
    <col width="16" customWidth="1" style="134" min="7" max="7"/>
    <col width="34.7" customWidth="1" style="134" min="8" max="8"/>
    <col width="3" customWidth="1" style="134" min="9" max="10"/>
    <col width="11" customWidth="1" style="134" min="11" max="11"/>
    <col width="10" customWidth="1" style="134" min="12" max="12"/>
    <col width="11" customWidth="1" style="134" min="13" max="13"/>
    <col width="36" customWidth="1" style="134" min="14" max="14"/>
    <col width="4" customWidth="1" style="134" min="15" max="16"/>
  </cols>
  <sheetData>
    <row r="1" ht="31.5" customHeight="1" s="134">
      <c r="A1" s="153" t="inlineStr">
        <is>
          <t>👨‍👧‍👦  育兒費（與前妻各半均攤）</t>
        </is>
      </c>
      <c r="B1" s="136" t="n"/>
      <c r="C1" s="136" t="n"/>
      <c r="D1" s="136" t="n"/>
      <c r="E1" s="136" t="n"/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  <c r="O1" s="136" t="n"/>
      <c r="P1" s="137" t="n"/>
    </row>
    <row r="2"/>
    <row r="3" ht="21.75" customHeight="1" s="134">
      <c r="A3" s="135" t="inlineStr">
        <is>
          <t>⚙️ 說明</t>
        </is>
      </c>
      <c r="B3" s="136" t="n"/>
      <c r="C3" s="136" t="n"/>
      <c r="D3" s="136" t="n"/>
      <c r="E3" s="136" t="n"/>
      <c r="F3" s="136" t="n"/>
      <c r="G3" s="136" t="n"/>
      <c r="H3" s="136" t="n"/>
      <c r="I3" s="136" t="n"/>
      <c r="J3" s="136" t="n"/>
      <c r="K3" s="136" t="n"/>
      <c r="L3" s="136" t="n"/>
      <c r="M3" s="136" t="n"/>
      <c r="N3" s="136" t="n"/>
      <c r="O3" s="136" t="n"/>
      <c r="P3" s="137" t="n"/>
    </row>
    <row r="4" ht="27.75" customHeight="1" s="134">
      <c r="B4" s="138" t="inlineStr">
        <is>
          <t>本表分兩區：左側「月彙總」是自動加總結果，不需要手動填；右側「明細清單」才是實際輸入資料的地方。</t>
        </is>
      </c>
    </row>
    <row r="5" ht="27.75" customHeight="1" s="134">
      <c r="B5" s="138" t="inlineStr">
        <is>
          <t>每筆育兒相關支出（學費、教材費、安親班費、掛號費…等）都可以在右側「明細清單」新增一列，自己命名細項名稱，不受限於固定分類。</t>
        </is>
      </c>
    </row>
    <row r="6" ht="27.75" customHeight="1" s="134">
      <c r="B6" s="138" t="inlineStr">
        <is>
          <t>「保險費」是潘寧/潘維的醫療險保費，實際由每月現金流支付（跟教育費/醫療費一樣），已併入「本人負擔」計算，不會另外從信用卡年支出重複計算。</t>
        </is>
      </c>
    </row>
    <row r="7" ht="27.75" customHeight="1" s="134">
      <c r="B7" s="138" t="inlineStr">
        <is>
          <t>「本人負擔」＝(教育費＋醫療費＋保險費)÷2，這是實際會反映到「收支明細」月支出的金額。</t>
        </is>
      </c>
    </row>
    <row r="8"/>
    <row r="9" ht="21.75" customHeight="1" s="134">
      <c r="A9" s="135" t="inlineStr">
        <is>
          <t>📊 月彙總（自動計算，不需手動填）</t>
        </is>
      </c>
      <c r="B9" s="136" t="n"/>
      <c r="C9" s="136" t="n"/>
      <c r="D9" s="136" t="n"/>
      <c r="E9" s="136" t="n"/>
      <c r="F9" s="136" t="n"/>
      <c r="G9" s="136" t="n"/>
      <c r="H9" s="137" t="n"/>
      <c r="K9" s="135" t="inlineStr">
        <is>
          <t>📝 明細清單（在這裡自由新增細項）</t>
        </is>
      </c>
      <c r="L9" s="136" t="n"/>
      <c r="M9" s="136" t="n"/>
      <c r="N9" s="137" t="n"/>
    </row>
    <row r="10" ht="25.5" customHeight="1" s="134">
      <c r="K10" s="163" t="inlineStr">
        <is>
          <t>每筆支出新增一列：年月／類別下拉選擇，金額填數字，備註自訂名稱。</t>
        </is>
      </c>
    </row>
    <row r="11" ht="27.75" customHeight="1" s="134">
      <c r="A11" s="29" t="inlineStr">
        <is>
          <t>年月</t>
        </is>
      </c>
      <c r="B11" s="29" t="inlineStr">
        <is>
          <t>教育費</t>
        </is>
      </c>
      <c r="C11" s="29" t="inlineStr">
        <is>
          <t>保險費</t>
        </is>
      </c>
      <c r="D11" s="29" t="inlineStr">
        <is>
          <t>醫療費</t>
        </is>
      </c>
      <c r="E11" s="29" t="inlineStr">
        <is>
          <t>費用總和</t>
        </is>
      </c>
      <c r="F11" s="29" t="inlineStr">
        <is>
          <t>前妻應付
(總和÷2)</t>
        </is>
      </c>
      <c r="G11" s="29" t="inlineStr">
        <is>
          <t>本人負擔
(總和÷2)</t>
        </is>
      </c>
      <c r="H11" s="29" t="inlineStr">
        <is>
          <t>備註</t>
        </is>
      </c>
      <c r="K11" s="160" t="inlineStr">
        <is>
          <t>年月</t>
        </is>
      </c>
      <c r="L11" s="160" t="inlineStr">
        <is>
          <t>類別</t>
        </is>
      </c>
      <c r="M11" s="160" t="inlineStr">
        <is>
          <t>金額</t>
        </is>
      </c>
      <c r="N11" s="160" t="inlineStr">
        <is>
          <t>備註</t>
        </is>
      </c>
    </row>
    <row r="12" ht="16.5" customHeight="1" s="134">
      <c r="A12" s="53" t="inlineStr">
        <is>
          <t>113年01月</t>
        </is>
      </c>
      <c r="B12" s="246">
        <f>SUMIFS(M1:M5000,K1:K5000,A12,L1:L5000,"教育費")</f>
        <v/>
      </c>
      <c r="C12" s="246">
        <f>SUMIFS(M1:M5000,K1:K5000,A12,L1:L5000,"保險費")</f>
        <v/>
      </c>
      <c r="D12" s="246">
        <f>SUMIFS(M1:M5000,K1:K5000,A12,L1:L5000,"醫療費")</f>
        <v/>
      </c>
      <c r="E12" s="246">
        <f>B12+C12+D12</f>
        <v/>
      </c>
      <c r="F12" s="246">
        <f>E12/2</f>
        <v/>
      </c>
      <c r="G12" s="246">
        <f>E12/2</f>
        <v/>
      </c>
      <c r="H12" s="87" t="n"/>
      <c r="J12" s="274">
        <f>IF(COUNTIFS(K1:K5000,A12)&gt;0,1,0)</f>
        <v/>
      </c>
      <c r="K12" s="89" t="inlineStr">
        <is>
          <t>113年01月</t>
        </is>
      </c>
      <c r="L12" s="90" t="inlineStr">
        <is>
          <t>教育費</t>
        </is>
      </c>
      <c r="M12" s="275" t="n">
        <v>3000</v>
      </c>
      <c r="N12" s="92" t="inlineStr">
        <is>
          <t>11301準公托月費(寧)</t>
        </is>
      </c>
      <c r="O12" s="274">
        <f>IF(K12="","",COUNTIFS($K$12:K12,K12))</f>
        <v/>
      </c>
      <c r="P12" s="93">
        <f>IF(K12="","",K12&amp;"|"&amp;O12)</f>
        <v/>
      </c>
    </row>
    <row r="13" ht="16.5" customHeight="1" s="134">
      <c r="A13" s="53" t="inlineStr">
        <is>
          <t>113年02月</t>
        </is>
      </c>
      <c r="B13" s="246">
        <f>SUMIFS(M1:M5000,K1:K5000,A13,L1:L5000,"教育費")</f>
        <v/>
      </c>
      <c r="C13" s="246">
        <f>SUMIFS(M1:M5000,K1:K5000,A13,L1:L5000,"保險費")</f>
        <v/>
      </c>
      <c r="D13" s="246">
        <f>SUMIFS(M1:M5000,K1:K5000,A13,L1:L5000,"醫療費")</f>
        <v/>
      </c>
      <c r="E13" s="246">
        <f>B13+C13+D13</f>
        <v/>
      </c>
      <c r="F13" s="246">
        <f>E13/2</f>
        <v/>
      </c>
      <c r="G13" s="246">
        <f>E13/2</f>
        <v/>
      </c>
      <c r="H13" s="87" t="n"/>
      <c r="J13" s="274">
        <f>IF(COUNTIFS(K1:K5000,A13)&gt;0,1,0)</f>
        <v/>
      </c>
      <c r="K13" s="89" t="inlineStr">
        <is>
          <t>113年01月</t>
        </is>
      </c>
      <c r="L13" s="90" t="inlineStr">
        <is>
          <t>醫療費</t>
        </is>
      </c>
      <c r="M13" s="275" t="n">
        <v>100</v>
      </c>
      <c r="N13" s="92" t="inlineStr">
        <is>
          <t>1130108(維)</t>
        </is>
      </c>
      <c r="O13" s="274">
        <f>IF(K13="","",COUNTIFS($K$12:K13,K13))</f>
        <v/>
      </c>
      <c r="P13" s="93">
        <f>IF(K13="","",K13&amp;"|"&amp;O13)</f>
        <v/>
      </c>
    </row>
    <row r="14" ht="16.5" customHeight="1" s="134">
      <c r="A14" s="53" t="inlineStr">
        <is>
          <t>113年03月</t>
        </is>
      </c>
      <c r="B14" s="246">
        <f>SUMIFS(M1:M5000,K1:K5000,A14,L1:L5000,"教育費")</f>
        <v/>
      </c>
      <c r="C14" s="246">
        <f>SUMIFS(M1:M5000,K1:K5000,A14,L1:L5000,"保險費")</f>
        <v/>
      </c>
      <c r="D14" s="246">
        <f>SUMIFS(M1:M5000,K1:K5000,A14,L1:L5000,"醫療費")</f>
        <v/>
      </c>
      <c r="E14" s="246">
        <f>B14+C14+D14</f>
        <v/>
      </c>
      <c r="F14" s="246">
        <f>E14/2</f>
        <v/>
      </c>
      <c r="G14" s="246">
        <f>E14/2</f>
        <v/>
      </c>
      <c r="H14" s="87" t="n"/>
      <c r="J14" s="274">
        <f>IF(COUNTIFS(K1:K5000,A14)&gt;0,1,0)</f>
        <v/>
      </c>
      <c r="K14" s="89" t="inlineStr">
        <is>
          <t>113年01月</t>
        </is>
      </c>
      <c r="L14" s="90" t="inlineStr">
        <is>
          <t>教育費</t>
        </is>
      </c>
      <c r="M14" s="275" t="n">
        <v>17100</v>
      </c>
      <c r="N14" s="92" t="inlineStr">
        <is>
          <t>113上學期註冊費(寧)</t>
        </is>
      </c>
      <c r="O14" s="274">
        <f>IF(K14="","",COUNTIFS($K$12:K14,K14))</f>
        <v/>
      </c>
      <c r="P14" s="93">
        <f>IF(K14="","",K14&amp;"|"&amp;O14)</f>
        <v/>
      </c>
    </row>
    <row r="15" ht="16.5" customHeight="1" s="134">
      <c r="A15" s="53" t="inlineStr">
        <is>
          <t>113年04月</t>
        </is>
      </c>
      <c r="B15" s="246">
        <f>SUMIFS(M1:M5000,K1:K5000,A15,L1:L5000,"教育費")</f>
        <v/>
      </c>
      <c r="C15" s="246">
        <f>SUMIFS(M1:M5000,K1:K5000,A15,L1:L5000,"保險費")</f>
        <v/>
      </c>
      <c r="D15" s="246">
        <f>SUMIFS(M1:M5000,K1:K5000,A15,L1:L5000,"醫療費")</f>
        <v/>
      </c>
      <c r="E15" s="246">
        <f>B15+C15+D15</f>
        <v/>
      </c>
      <c r="F15" s="246">
        <f>E15/2</f>
        <v/>
      </c>
      <c r="G15" s="246">
        <f>E15/2</f>
        <v/>
      </c>
      <c r="H15" s="87" t="n"/>
      <c r="J15" s="274">
        <f>IF(COUNTIFS(K1:K5000,A15)&gt;0,1,0)</f>
        <v/>
      </c>
      <c r="K15" s="89" t="inlineStr">
        <is>
          <t>113年01月</t>
        </is>
      </c>
      <c r="L15" s="90" t="inlineStr">
        <is>
          <t>醫療費</t>
        </is>
      </c>
      <c r="M15" s="275" t="n">
        <v>180</v>
      </c>
      <c r="N15" s="92" t="inlineStr">
        <is>
          <t>1130110(寧)</t>
        </is>
      </c>
      <c r="O15" s="274">
        <f>IF(K15="","",COUNTIFS($K$12:K15,K15))</f>
        <v/>
      </c>
      <c r="P15" s="93">
        <f>IF(K15="","",K15&amp;"|"&amp;O15)</f>
        <v/>
      </c>
    </row>
    <row r="16" ht="16.5" customHeight="1" s="134">
      <c r="A16" s="53" t="inlineStr">
        <is>
          <t>113年05月</t>
        </is>
      </c>
      <c r="B16" s="246">
        <f>SUMIFS(M1:M5000,K1:K5000,A16,L1:L5000,"教育費")</f>
        <v/>
      </c>
      <c r="C16" s="246">
        <f>SUMIFS(M1:M5000,K1:K5000,A16,L1:L5000,"保險費")</f>
        <v/>
      </c>
      <c r="D16" s="246">
        <f>SUMIFS(M1:M5000,K1:K5000,A16,L1:L5000,"醫療費")</f>
        <v/>
      </c>
      <c r="E16" s="246">
        <f>B16+C16+D16</f>
        <v/>
      </c>
      <c r="F16" s="246">
        <f>E16/2</f>
        <v/>
      </c>
      <c r="G16" s="246">
        <f>E16/2</f>
        <v/>
      </c>
      <c r="H16" s="87" t="n"/>
      <c r="J16" s="274">
        <f>IF(COUNTIFS(K1:K5000,A16)&gt;0,1,0)</f>
        <v/>
      </c>
      <c r="K16" s="89" t="inlineStr">
        <is>
          <t>113年01月</t>
        </is>
      </c>
      <c r="L16" s="90" t="inlineStr">
        <is>
          <t>教育費</t>
        </is>
      </c>
      <c r="M16" s="275" t="n">
        <v>5000</v>
      </c>
      <c r="N16" s="92" t="inlineStr">
        <is>
          <t>113幼稚園訂金(維)</t>
        </is>
      </c>
      <c r="O16" s="274">
        <f>IF(K16="","",COUNTIFS($K$12:K16,K16))</f>
        <v/>
      </c>
      <c r="P16" s="93">
        <f>IF(K16="","",K16&amp;"|"&amp;O16)</f>
        <v/>
      </c>
    </row>
    <row r="17" ht="16.5" customHeight="1" s="134">
      <c r="A17" s="53" t="inlineStr">
        <is>
          <t>113年06月</t>
        </is>
      </c>
      <c r="B17" s="246">
        <f>SUMIFS(M1:M5000,K1:K5000,A17,L1:L5000,"教育費")</f>
        <v/>
      </c>
      <c r="C17" s="246">
        <f>SUMIFS(M1:M5000,K1:K5000,A17,L1:L5000,"保險費")</f>
        <v/>
      </c>
      <c r="D17" s="246">
        <f>SUMIFS(M1:M5000,K1:K5000,A17,L1:L5000,"醫療費")</f>
        <v/>
      </c>
      <c r="E17" s="246">
        <f>B17+C17+D17</f>
        <v/>
      </c>
      <c r="F17" s="246">
        <f>E17/2</f>
        <v/>
      </c>
      <c r="G17" s="246">
        <f>E17/2</f>
        <v/>
      </c>
      <c r="H17" s="87" t="n"/>
      <c r="J17" s="274">
        <f>IF(COUNTIFS(K1:K5000,A17)&gt;0,1,0)</f>
        <v/>
      </c>
      <c r="K17" s="89" t="inlineStr">
        <is>
          <t>113年01月</t>
        </is>
      </c>
      <c r="L17" s="90" t="inlineStr">
        <is>
          <t>醫療費</t>
        </is>
      </c>
      <c r="M17" s="275" t="n">
        <v>250</v>
      </c>
      <c r="N17" s="92" t="inlineStr">
        <is>
          <t>1130123(寧)</t>
        </is>
      </c>
      <c r="O17" s="274">
        <f>IF(K17="","",COUNTIFS($K$12:K17,K17))</f>
        <v/>
      </c>
      <c r="P17" s="93">
        <f>IF(K17="","",K17&amp;"|"&amp;O17)</f>
        <v/>
      </c>
    </row>
    <row r="18" ht="16.5" customHeight="1" s="134">
      <c r="A18" s="53" t="inlineStr">
        <is>
          <t>113年07月</t>
        </is>
      </c>
      <c r="B18" s="246">
        <f>SUMIFS(M1:M5000,K1:K5000,A18,L1:L5000,"教育費")</f>
        <v/>
      </c>
      <c r="C18" s="246">
        <f>SUMIFS(M1:M5000,K1:K5000,A18,L1:L5000,"保險費")</f>
        <v/>
      </c>
      <c r="D18" s="246">
        <f>SUMIFS(M1:M5000,K1:K5000,A18,L1:L5000,"醫療費")</f>
        <v/>
      </c>
      <c r="E18" s="246">
        <f>B18+C18+D18</f>
        <v/>
      </c>
      <c r="F18" s="246">
        <f>E18/2</f>
        <v/>
      </c>
      <c r="G18" s="246">
        <f>E18/2</f>
        <v/>
      </c>
      <c r="H18" s="87" t="n"/>
      <c r="J18" s="274">
        <f>IF(COUNTIFS(K1:K5000,A18)&gt;0,1,0)</f>
        <v/>
      </c>
      <c r="K18" s="89" t="inlineStr">
        <is>
          <t>113年01月</t>
        </is>
      </c>
      <c r="L18" s="90" t="inlineStr">
        <is>
          <t>醫療費</t>
        </is>
      </c>
      <c r="M18" s="275" t="n">
        <v>480</v>
      </c>
      <c r="N18" s="92" t="inlineStr">
        <is>
          <t>1130129(維)</t>
        </is>
      </c>
      <c r="O18" s="274">
        <f>IF(K18="","",COUNTIFS($K$12:K18,K18))</f>
        <v/>
      </c>
      <c r="P18" s="93">
        <f>IF(K18="","",K18&amp;"|"&amp;O18)</f>
        <v/>
      </c>
    </row>
    <row r="19" ht="16.5" customHeight="1" s="134">
      <c r="A19" s="53" t="inlineStr">
        <is>
          <t>113年08月</t>
        </is>
      </c>
      <c r="B19" s="246">
        <f>SUMIFS(M1:M5000,K1:K5000,A19,L1:L5000,"教育費")</f>
        <v/>
      </c>
      <c r="C19" s="246">
        <f>SUMIFS(M1:M5000,K1:K5000,A19,L1:L5000,"保險費")</f>
        <v/>
      </c>
      <c r="D19" s="246">
        <f>SUMIFS(M1:M5000,K1:K5000,A19,L1:L5000,"醫療費")</f>
        <v/>
      </c>
      <c r="E19" s="246">
        <f>B19+C19+D19</f>
        <v/>
      </c>
      <c r="F19" s="246">
        <f>E19/2</f>
        <v/>
      </c>
      <c r="G19" s="246">
        <f>E19/2</f>
        <v/>
      </c>
      <c r="H19" s="87" t="n"/>
      <c r="J19" s="274">
        <f>IF(COUNTIFS(K1:K5000,A19)&gt;0,1,0)</f>
        <v/>
      </c>
      <c r="K19" s="89" t="inlineStr">
        <is>
          <t>113年01月</t>
        </is>
      </c>
      <c r="L19" s="90" t="inlineStr">
        <is>
          <t>醫療費</t>
        </is>
      </c>
      <c r="M19" s="275" t="n">
        <v>200</v>
      </c>
      <c r="N19" s="92" t="inlineStr">
        <is>
          <t>1130131(寧)</t>
        </is>
      </c>
      <c r="O19" s="274">
        <f>IF(K19="","",COUNTIFS($K$12:K19,K19))</f>
        <v/>
      </c>
      <c r="P19" s="93">
        <f>IF(K19="","",K19&amp;"|"&amp;O19)</f>
        <v/>
      </c>
    </row>
    <row r="20" ht="16.5" customHeight="1" s="134">
      <c r="A20" s="53" t="inlineStr">
        <is>
          <t>113年09月</t>
        </is>
      </c>
      <c r="B20" s="246">
        <f>SUMIFS(M1:M5000,K1:K5000,A20,L1:L5000,"教育費")</f>
        <v/>
      </c>
      <c r="C20" s="246">
        <f>SUMIFS(M1:M5000,K1:K5000,A20,L1:L5000,"保險費")</f>
        <v/>
      </c>
      <c r="D20" s="246">
        <f>SUMIFS(M1:M5000,K1:K5000,A20,L1:L5000,"醫療費")</f>
        <v/>
      </c>
      <c r="E20" s="246">
        <f>B20+C20+D20</f>
        <v/>
      </c>
      <c r="F20" s="246">
        <f>E20/2</f>
        <v/>
      </c>
      <c r="G20" s="246">
        <f>E20/2</f>
        <v/>
      </c>
      <c r="H20" s="87" t="n"/>
      <c r="J20" s="274">
        <f>IF(COUNTIFS(K1:K5000,A20)&gt;0,1,0)</f>
        <v/>
      </c>
      <c r="K20" s="89" t="inlineStr">
        <is>
          <t>113年02月</t>
        </is>
      </c>
      <c r="L20" s="90" t="inlineStr">
        <is>
          <t>教育費</t>
        </is>
      </c>
      <c r="M20" s="275" t="n">
        <v>2575</v>
      </c>
      <c r="N20" s="92" t="inlineStr">
        <is>
          <t>11302準公托月費(寧)</t>
        </is>
      </c>
      <c r="O20" s="274">
        <f>IF(K20="","",COUNTIFS($K$12:K20,K20))</f>
        <v/>
      </c>
      <c r="P20" s="93">
        <f>IF(K20="","",K20&amp;"|"&amp;O20)</f>
        <v/>
      </c>
    </row>
    <row r="21" ht="16.5" customHeight="1" s="134">
      <c r="A21" s="53" t="inlineStr">
        <is>
          <t>113年10月</t>
        </is>
      </c>
      <c r="B21" s="246">
        <f>SUMIFS(M1:M5000,K1:K5000,A21,L1:L5000,"教育費")</f>
        <v/>
      </c>
      <c r="C21" s="246">
        <f>SUMIFS(M1:M5000,K1:K5000,A21,L1:L5000,"保險費")</f>
        <v/>
      </c>
      <c r="D21" s="246">
        <f>SUMIFS(M1:M5000,K1:K5000,A21,L1:L5000,"醫療費")</f>
        <v/>
      </c>
      <c r="E21" s="246">
        <f>B21+C21+D21</f>
        <v/>
      </c>
      <c r="F21" s="246">
        <f>E21/2</f>
        <v/>
      </c>
      <c r="G21" s="246">
        <f>E21/2</f>
        <v/>
      </c>
      <c r="H21" s="87" t="n"/>
      <c r="J21" s="274">
        <f>IF(COUNTIFS(K1:K5000,A21)&gt;0,1,0)</f>
        <v/>
      </c>
      <c r="K21" s="89" t="inlineStr">
        <is>
          <t>113年02月</t>
        </is>
      </c>
      <c r="L21" s="90" t="inlineStr">
        <is>
          <t>醫療費</t>
        </is>
      </c>
      <c r="M21" s="275" t="n">
        <v>370</v>
      </c>
      <c r="N21" s="92" t="inlineStr">
        <is>
          <t>1130201(維)</t>
        </is>
      </c>
      <c r="O21" s="274">
        <f>IF(K21="","",COUNTIFS($K$12:K21,K21))</f>
        <v/>
      </c>
      <c r="P21" s="93">
        <f>IF(K21="","",K21&amp;"|"&amp;O21)</f>
        <v/>
      </c>
    </row>
    <row r="22" ht="16.5" customHeight="1" s="134">
      <c r="A22" s="53" t="inlineStr">
        <is>
          <t>113年11月</t>
        </is>
      </c>
      <c r="B22" s="246">
        <f>SUMIFS(M1:M5000,K1:K5000,A22,L1:L5000,"教育費")</f>
        <v/>
      </c>
      <c r="C22" s="246">
        <f>SUMIFS(M1:M5000,K1:K5000,A22,L1:L5000,"保險費")</f>
        <v/>
      </c>
      <c r="D22" s="246">
        <f>SUMIFS(M1:M5000,K1:K5000,A22,L1:L5000,"醫療費")</f>
        <v/>
      </c>
      <c r="E22" s="246">
        <f>B22+C22+D22</f>
        <v/>
      </c>
      <c r="F22" s="246">
        <f>E22/2</f>
        <v/>
      </c>
      <c r="G22" s="246">
        <f>E22/2</f>
        <v/>
      </c>
      <c r="H22" s="87" t="n"/>
      <c r="J22" s="274">
        <f>IF(COUNTIFS(K1:K5000,A22)&gt;0,1,0)</f>
        <v/>
      </c>
      <c r="K22" s="89" t="inlineStr">
        <is>
          <t>113年02月</t>
        </is>
      </c>
      <c r="L22" s="90" t="inlineStr">
        <is>
          <t>教育費</t>
        </is>
      </c>
      <c r="M22" s="275" t="n">
        <v>13600</v>
      </c>
      <c r="N22" s="92" t="inlineStr">
        <is>
          <t>113上學期才藝費(寧)</t>
        </is>
      </c>
      <c r="O22" s="274">
        <f>IF(K22="","",COUNTIFS($K$12:K22,K22))</f>
        <v/>
      </c>
      <c r="P22" s="93">
        <f>IF(K22="","",K22&amp;"|"&amp;O22)</f>
        <v/>
      </c>
    </row>
    <row r="23" ht="16.5" customHeight="1" s="134">
      <c r="A23" s="53" t="inlineStr">
        <is>
          <t>113年12月</t>
        </is>
      </c>
      <c r="B23" s="246">
        <f>SUMIFS(M1:M5000,K1:K5000,A23,L1:L5000,"教育費")</f>
        <v/>
      </c>
      <c r="C23" s="246">
        <f>SUMIFS(M1:M5000,K1:K5000,A23,L1:L5000,"保險費")</f>
        <v/>
      </c>
      <c r="D23" s="246">
        <f>SUMIFS(M1:M5000,K1:K5000,A23,L1:L5000,"醫療費")</f>
        <v/>
      </c>
      <c r="E23" s="246">
        <f>B23+C23+D23</f>
        <v/>
      </c>
      <c r="F23" s="246">
        <f>E23/2</f>
        <v/>
      </c>
      <c r="G23" s="246">
        <f>E23/2</f>
        <v/>
      </c>
      <c r="H23" s="87" t="n"/>
      <c r="J23" s="274">
        <f>IF(COUNTIFS(K1:K5000,A23)&gt;0,1,0)</f>
        <v/>
      </c>
      <c r="K23" s="89" t="inlineStr">
        <is>
          <t>113年03月</t>
        </is>
      </c>
      <c r="L23" s="90" t="inlineStr">
        <is>
          <t>教育費</t>
        </is>
      </c>
      <c r="M23" s="275" t="n">
        <v>3000</v>
      </c>
      <c r="N23" s="92" t="inlineStr">
        <is>
          <t>11303準公托月費(寧)</t>
        </is>
      </c>
      <c r="O23" s="274">
        <f>IF(K23="","",COUNTIFS($K$12:K23,K23))</f>
        <v/>
      </c>
      <c r="P23" s="93">
        <f>IF(K23="","",K23&amp;"|"&amp;O23)</f>
        <v/>
      </c>
    </row>
    <row r="24" ht="16.5" customHeight="1" s="134">
      <c r="A24" s="53" t="inlineStr">
        <is>
          <t>114年01月</t>
        </is>
      </c>
      <c r="B24" s="246">
        <f>SUMIFS(M1:M5000,K1:K5000,A24,L1:L5000,"教育費")</f>
        <v/>
      </c>
      <c r="C24" s="246">
        <f>SUMIFS(M1:M5000,K1:K5000,A24,L1:L5000,"保險費")</f>
        <v/>
      </c>
      <c r="D24" s="246">
        <f>SUMIFS(M1:M5000,K1:K5000,A24,L1:L5000,"醫療費")</f>
        <v/>
      </c>
      <c r="E24" s="246">
        <f>B24+C24+D24</f>
        <v/>
      </c>
      <c r="F24" s="246">
        <f>E24/2</f>
        <v/>
      </c>
      <c r="G24" s="246">
        <f>E24/2</f>
        <v/>
      </c>
      <c r="H24" s="87" t="n"/>
      <c r="J24" s="274">
        <f>IF(COUNTIFS(K1:K5000,A24)&gt;0,1,0)</f>
        <v/>
      </c>
      <c r="K24" s="89" t="inlineStr">
        <is>
          <t>113年03月</t>
        </is>
      </c>
      <c r="L24" s="90" t="inlineStr">
        <is>
          <t>保險費</t>
        </is>
      </c>
      <c r="M24" s="275" t="n">
        <v>14737</v>
      </c>
      <c r="N24" s="92" t="inlineStr">
        <is>
          <t>113全球人壽(維)</t>
        </is>
      </c>
      <c r="O24" s="274">
        <f>IF(K24="","",COUNTIFS($K$12:K24,K24))</f>
        <v/>
      </c>
      <c r="P24" s="93">
        <f>IF(K24="","",K24&amp;"|"&amp;O24)</f>
        <v/>
      </c>
    </row>
    <row r="25" ht="16.5" customHeight="1" s="134">
      <c r="A25" s="53" t="inlineStr">
        <is>
          <t>114年02月</t>
        </is>
      </c>
      <c r="B25" s="246">
        <f>SUMIFS(M1:M5000,K1:K5000,A25,L1:L5000,"教育費")</f>
        <v/>
      </c>
      <c r="C25" s="246">
        <f>SUMIFS(M1:M5000,K1:K5000,A25,L1:L5000,"保險費")</f>
        <v/>
      </c>
      <c r="D25" s="246">
        <f>SUMIFS(M1:M5000,K1:K5000,A25,L1:L5000,"醫療費")</f>
        <v/>
      </c>
      <c r="E25" s="246">
        <f>B25+C25+D25</f>
        <v/>
      </c>
      <c r="F25" s="246">
        <f>E25/2</f>
        <v/>
      </c>
      <c r="G25" s="246">
        <f>E25/2</f>
        <v/>
      </c>
      <c r="H25" s="87" t="n"/>
      <c r="J25" s="274">
        <f>IF(COUNTIFS(K1:K5000,A25)&gt;0,1,0)</f>
        <v/>
      </c>
      <c r="K25" s="89" t="inlineStr">
        <is>
          <t>113年03月</t>
        </is>
      </c>
      <c r="L25" s="90" t="inlineStr">
        <is>
          <t>醫療費</t>
        </is>
      </c>
      <c r="M25" s="275" t="n">
        <v>150</v>
      </c>
      <c r="N25" s="92" t="inlineStr">
        <is>
          <t>1130304(維)</t>
        </is>
      </c>
      <c r="O25" s="274">
        <f>IF(K25="","",COUNTIFS($K$12:K25,K25))</f>
        <v/>
      </c>
      <c r="P25" s="93">
        <f>IF(K25="","",K25&amp;"|"&amp;O25)</f>
        <v/>
      </c>
    </row>
    <row r="26" ht="16.5" customHeight="1" s="134">
      <c r="A26" s="53" t="inlineStr">
        <is>
          <t>114年03月</t>
        </is>
      </c>
      <c r="B26" s="246">
        <f>SUMIFS(M1:M5000,K1:K5000,A26,L1:L5000,"教育費")</f>
        <v/>
      </c>
      <c r="C26" s="246">
        <f>SUMIFS(M1:M5000,K1:K5000,A26,L1:L5000,"保險費")</f>
        <v/>
      </c>
      <c r="D26" s="246">
        <f>SUMIFS(M1:M5000,K1:K5000,A26,L1:L5000,"醫療費")</f>
        <v/>
      </c>
      <c r="E26" s="246">
        <f>B26+C26+D26</f>
        <v/>
      </c>
      <c r="F26" s="246">
        <f>E26/2</f>
        <v/>
      </c>
      <c r="G26" s="246">
        <f>E26/2</f>
        <v/>
      </c>
      <c r="H26" s="87" t="n"/>
      <c r="J26" s="274">
        <f>IF(COUNTIFS(K1:K5000,A26)&gt;0,1,0)</f>
        <v/>
      </c>
      <c r="K26" s="89" t="inlineStr">
        <is>
          <t>113年03月</t>
        </is>
      </c>
      <c r="L26" s="90" t="inlineStr">
        <is>
          <t>教育費</t>
        </is>
      </c>
      <c r="M26" s="275" t="n">
        <v>3000</v>
      </c>
      <c r="N26" s="94" t="inlineStr">
        <is>
          <t>甲子園畢業紀念冊(寧)</t>
        </is>
      </c>
      <c r="O26" s="274">
        <f>IF(K26="","",COUNTIFS($K$12:K26,K26))</f>
        <v/>
      </c>
      <c r="P26" s="93">
        <f>IF(K26="","",K26&amp;"|"&amp;O26)</f>
        <v/>
      </c>
    </row>
    <row r="27" ht="16.5" customHeight="1" s="134">
      <c r="A27" s="53" t="inlineStr">
        <is>
          <t>114年04月</t>
        </is>
      </c>
      <c r="B27" s="246">
        <f>SUMIFS(M1:M5000,K1:K5000,A27,L1:L5000,"教育費")</f>
        <v/>
      </c>
      <c r="C27" s="246">
        <f>SUMIFS(M1:M5000,K1:K5000,A27,L1:L5000,"保險費")</f>
        <v/>
      </c>
      <c r="D27" s="246">
        <f>SUMIFS(M1:M5000,K1:K5000,A27,L1:L5000,"醫療費")</f>
        <v/>
      </c>
      <c r="E27" s="246">
        <f>B27+C27+D27</f>
        <v/>
      </c>
      <c r="F27" s="246">
        <f>E27/2</f>
        <v/>
      </c>
      <c r="G27" s="246">
        <f>E27/2</f>
        <v/>
      </c>
      <c r="H27" s="87" t="n"/>
      <c r="J27" s="274">
        <f>IF(COUNTIFS(K1:K5000,A27)&gt;0,1,0)</f>
        <v/>
      </c>
      <c r="K27" s="89" t="inlineStr">
        <is>
          <t>113年03月</t>
        </is>
      </c>
      <c r="L27" s="90" t="inlineStr">
        <is>
          <t>保險費</t>
        </is>
      </c>
      <c r="M27" s="275" t="n">
        <v>1614</v>
      </c>
      <c r="N27" s="92" t="inlineStr">
        <is>
          <t>113新安產險(維)</t>
        </is>
      </c>
      <c r="O27" s="274">
        <f>IF(K27="","",COUNTIFS($K$12:K27,K27))</f>
        <v/>
      </c>
      <c r="P27" s="93">
        <f>IF(K27="","",K27&amp;"|"&amp;O27)</f>
        <v/>
      </c>
    </row>
    <row r="28" ht="16.5" customHeight="1" s="134">
      <c r="A28" s="53" t="inlineStr">
        <is>
          <t>114年05月</t>
        </is>
      </c>
      <c r="B28" s="246">
        <f>SUMIFS(M1:M5000,K1:K5000,A28,L1:L5000,"教育費")</f>
        <v/>
      </c>
      <c r="C28" s="246">
        <f>SUMIFS(M1:M5000,K1:K5000,A28,L1:L5000,"保險費")</f>
        <v/>
      </c>
      <c r="D28" s="246">
        <f>SUMIFS(M1:M5000,K1:K5000,A28,L1:L5000,"醫療費")</f>
        <v/>
      </c>
      <c r="E28" s="246">
        <f>B28+C28+D28</f>
        <v/>
      </c>
      <c r="F28" s="246">
        <f>E28/2</f>
        <v/>
      </c>
      <c r="G28" s="246">
        <f>E28/2</f>
        <v/>
      </c>
      <c r="H28" s="87" t="n"/>
      <c r="J28" s="274">
        <f>IF(COUNTIFS(K1:K5000,A28)&gt;0,1,0)</f>
        <v/>
      </c>
      <c r="K28" s="89" t="inlineStr">
        <is>
          <t>113年03月</t>
        </is>
      </c>
      <c r="L28" s="90" t="inlineStr">
        <is>
          <t>醫療費</t>
        </is>
      </c>
      <c r="M28" s="275" t="n">
        <v>200</v>
      </c>
      <c r="N28" s="92" t="inlineStr">
        <is>
          <t>1130304(寧)</t>
        </is>
      </c>
      <c r="O28" s="274">
        <f>IF(K28="","",COUNTIFS($K$12:K28,K28))</f>
        <v/>
      </c>
      <c r="P28" s="93">
        <f>IF(K28="","",K28&amp;"|"&amp;O28)</f>
        <v/>
      </c>
    </row>
    <row r="29" ht="16.5" customHeight="1" s="134">
      <c r="A29" s="53" t="inlineStr">
        <is>
          <t>114年06月</t>
        </is>
      </c>
      <c r="B29" s="246">
        <f>SUMIFS(M1:M5000,K1:K5000,A29,L1:L5000,"教育費")</f>
        <v/>
      </c>
      <c r="C29" s="246">
        <f>SUMIFS(M1:M5000,K1:K5000,A29,L1:L5000,"保險費")</f>
        <v/>
      </c>
      <c r="D29" s="246">
        <f>SUMIFS(M1:M5000,K1:K5000,A29,L1:L5000,"醫療費")</f>
        <v/>
      </c>
      <c r="E29" s="246">
        <f>B29+C29+D29</f>
        <v/>
      </c>
      <c r="F29" s="246">
        <f>E29/2</f>
        <v/>
      </c>
      <c r="G29" s="246">
        <f>E29/2</f>
        <v/>
      </c>
      <c r="H29" s="87" t="n"/>
      <c r="J29" s="274">
        <f>IF(COUNTIFS(K1:K5000,A29)&gt;0,1,0)</f>
        <v/>
      </c>
      <c r="K29" s="89" t="inlineStr">
        <is>
          <t>113年03月</t>
        </is>
      </c>
      <c r="L29" s="90" t="inlineStr">
        <is>
          <t>醫療費</t>
        </is>
      </c>
      <c r="M29" s="275" t="n">
        <v>50</v>
      </c>
      <c r="N29" s="92" t="inlineStr">
        <is>
          <t>1130306(寧)</t>
        </is>
      </c>
      <c r="O29" s="274">
        <f>IF(K29="","",COUNTIFS($K$12:K29,K29))</f>
        <v/>
      </c>
      <c r="P29" s="93">
        <f>IF(K29="","",K29&amp;"|"&amp;O29)</f>
        <v/>
      </c>
    </row>
    <row r="30" ht="16.5" customHeight="1" s="134">
      <c r="A30" s="53" t="inlineStr">
        <is>
          <t>114年07月</t>
        </is>
      </c>
      <c r="B30" s="246">
        <f>SUMIFS(M1:M5000,K1:K5000,A30,L1:L5000,"教育費")</f>
        <v/>
      </c>
      <c r="C30" s="246">
        <f>SUMIFS(M1:M5000,K1:K5000,A30,L1:L5000,"保險費")</f>
        <v/>
      </c>
      <c r="D30" s="246">
        <f>SUMIFS(M1:M5000,K1:K5000,A30,L1:L5000,"醫療費")</f>
        <v/>
      </c>
      <c r="E30" s="246">
        <f>B30+C30+D30</f>
        <v/>
      </c>
      <c r="F30" s="246">
        <f>E30/2</f>
        <v/>
      </c>
      <c r="G30" s="246">
        <f>E30/2</f>
        <v/>
      </c>
      <c r="H30" s="87" t="n"/>
      <c r="J30" s="274">
        <f>IF(COUNTIFS(K1:K5000,A30)&gt;0,1,0)</f>
        <v/>
      </c>
      <c r="K30" s="89" t="inlineStr">
        <is>
          <t>113年03月</t>
        </is>
      </c>
      <c r="L30" s="90" t="inlineStr">
        <is>
          <t>醫療費</t>
        </is>
      </c>
      <c r="M30" s="275" t="n">
        <v>710</v>
      </c>
      <c r="N30" s="92" t="inlineStr">
        <is>
          <t>1130306(維)</t>
        </is>
      </c>
      <c r="O30" s="274">
        <f>IF(K30="","",COUNTIFS($K$12:K30,K30))</f>
        <v/>
      </c>
      <c r="P30" s="93">
        <f>IF(K30="","",K30&amp;"|"&amp;O30)</f>
        <v/>
      </c>
    </row>
    <row r="31" ht="16.5" customHeight="1" s="134">
      <c r="A31" s="53" t="inlineStr">
        <is>
          <t>114年08月</t>
        </is>
      </c>
      <c r="B31" s="246">
        <f>SUMIFS(M1:M5000,K1:K5000,A31,L1:L5000,"教育費")</f>
        <v/>
      </c>
      <c r="C31" s="246">
        <f>SUMIFS(M1:M5000,K1:K5000,A31,L1:L5000,"保險費")</f>
        <v/>
      </c>
      <c r="D31" s="246">
        <f>SUMIFS(M1:M5000,K1:K5000,A31,L1:L5000,"醫療費")</f>
        <v/>
      </c>
      <c r="E31" s="246">
        <f>B31+C31+D31</f>
        <v/>
      </c>
      <c r="F31" s="246">
        <f>E31/2</f>
        <v/>
      </c>
      <c r="G31" s="246">
        <f>E31/2</f>
        <v/>
      </c>
      <c r="H31" s="87" t="n"/>
      <c r="J31" s="274">
        <f>IF(COUNTIFS(K1:K5000,A31)&gt;0,1,0)</f>
        <v/>
      </c>
      <c r="K31" s="89" t="inlineStr">
        <is>
          <t>113年03月</t>
        </is>
      </c>
      <c r="L31" s="90" t="inlineStr">
        <is>
          <t>醫療費</t>
        </is>
      </c>
      <c r="M31" s="275" t="n">
        <v>150</v>
      </c>
      <c r="N31" s="92" t="inlineStr">
        <is>
          <t>1130311(維)</t>
        </is>
      </c>
      <c r="O31" s="274">
        <f>IF(K31="","",COUNTIFS($K$12:K31,K31))</f>
        <v/>
      </c>
      <c r="P31" s="93">
        <f>IF(K31="","",K31&amp;"|"&amp;O31)</f>
        <v/>
      </c>
    </row>
    <row r="32" ht="16.5" customHeight="1" s="134">
      <c r="A32" s="53" t="inlineStr">
        <is>
          <t>114年09月</t>
        </is>
      </c>
      <c r="B32" s="246">
        <f>SUMIFS(M1:M5000,K1:K5000,A32,L1:L5000,"教育費")</f>
        <v/>
      </c>
      <c r="C32" s="246">
        <f>SUMIFS(M1:M5000,K1:K5000,A32,L1:L5000,"保險費")</f>
        <v/>
      </c>
      <c r="D32" s="246">
        <f>SUMIFS(M1:M5000,K1:K5000,A32,L1:L5000,"醫療費")</f>
        <v/>
      </c>
      <c r="E32" s="246">
        <f>B32+C32+D32</f>
        <v/>
      </c>
      <c r="F32" s="246">
        <f>E32/2</f>
        <v/>
      </c>
      <c r="G32" s="246">
        <f>E32/2</f>
        <v/>
      </c>
      <c r="H32" s="87" t="n"/>
      <c r="J32" s="274">
        <f>IF(COUNTIFS(K1:K5000,A32)&gt;0,1,0)</f>
        <v/>
      </c>
      <c r="K32" s="89" t="inlineStr">
        <is>
          <t>113年03月</t>
        </is>
      </c>
      <c r="L32" s="90" t="inlineStr">
        <is>
          <t>醫療費</t>
        </is>
      </c>
      <c r="M32" s="275" t="n">
        <v>180</v>
      </c>
      <c r="N32" s="92" t="inlineStr">
        <is>
          <t>1130320(寧)</t>
        </is>
      </c>
      <c r="O32" s="274">
        <f>IF(K32="","",COUNTIFS($K$12:K32,K32))</f>
        <v/>
      </c>
      <c r="P32" s="93">
        <f>IF(K32="","",K32&amp;"|"&amp;O32)</f>
        <v/>
      </c>
    </row>
    <row r="33" ht="16.5" customHeight="1" s="134">
      <c r="A33" s="53" t="inlineStr">
        <is>
          <t>114年10月</t>
        </is>
      </c>
      <c r="B33" s="246">
        <f>SUMIFS(M1:M5000,K1:K5000,A33,L1:L5000,"教育費")</f>
        <v/>
      </c>
      <c r="C33" s="246">
        <f>SUMIFS(M1:M5000,K1:K5000,A33,L1:L5000,"保險費")</f>
        <v/>
      </c>
      <c r="D33" s="246">
        <f>SUMIFS(M1:M5000,K1:K5000,A33,L1:L5000,"醫療費")</f>
        <v/>
      </c>
      <c r="E33" s="246">
        <f>B33+C33+D33</f>
        <v/>
      </c>
      <c r="F33" s="246">
        <f>E33/2</f>
        <v/>
      </c>
      <c r="G33" s="246">
        <f>E33/2</f>
        <v/>
      </c>
      <c r="H33" s="87" t="n"/>
      <c r="J33" s="274">
        <f>IF(COUNTIFS(K1:K5000,A33)&gt;0,1,0)</f>
        <v/>
      </c>
      <c r="K33" s="89" t="inlineStr">
        <is>
          <t>113年03月</t>
        </is>
      </c>
      <c r="L33" s="90" t="inlineStr">
        <is>
          <t>醫療費</t>
        </is>
      </c>
      <c r="M33" s="275" t="n">
        <v>200</v>
      </c>
      <c r="N33" s="92" t="inlineStr">
        <is>
          <t>1130320(寧)</t>
        </is>
      </c>
      <c r="O33" s="274">
        <f>IF(K33="","",COUNTIFS($K$12:K33,K33))</f>
        <v/>
      </c>
      <c r="P33" s="93">
        <f>IF(K33="","",K33&amp;"|"&amp;O33)</f>
        <v/>
      </c>
    </row>
    <row r="34" ht="16.5" customHeight="1" s="134">
      <c r="A34" s="53" t="inlineStr">
        <is>
          <t>114年11月</t>
        </is>
      </c>
      <c r="B34" s="246">
        <f>SUMIFS(M1:M5000,K1:K5000,A34,L1:L5000,"教育費")</f>
        <v/>
      </c>
      <c r="C34" s="246">
        <f>SUMIFS(M1:M5000,K1:K5000,A34,L1:L5000,"保險費")</f>
        <v/>
      </c>
      <c r="D34" s="246">
        <f>SUMIFS(M1:M5000,K1:K5000,A34,L1:L5000,"醫療費")</f>
        <v/>
      </c>
      <c r="E34" s="246">
        <f>B34+C34+D34</f>
        <v/>
      </c>
      <c r="F34" s="246">
        <f>E34/2</f>
        <v/>
      </c>
      <c r="G34" s="246">
        <f>E34/2</f>
        <v/>
      </c>
      <c r="H34" s="87" t="n"/>
      <c r="J34" s="274">
        <f>IF(COUNTIFS(K1:K5000,A34)&gt;0,1,0)</f>
        <v/>
      </c>
      <c r="K34" s="89" t="inlineStr">
        <is>
          <t>113年04月</t>
        </is>
      </c>
      <c r="L34" s="90" t="inlineStr">
        <is>
          <t>教育費</t>
        </is>
      </c>
      <c r="M34" s="275" t="n">
        <v>3000</v>
      </c>
      <c r="N34" s="92" t="inlineStr">
        <is>
          <t>11304準公托月費(寧)</t>
        </is>
      </c>
      <c r="O34" s="274">
        <f>IF(K34="","",COUNTIFS($K$12:K34,K34))</f>
        <v/>
      </c>
      <c r="P34" s="93">
        <f>IF(K34="","",K34&amp;"|"&amp;O34)</f>
        <v/>
      </c>
    </row>
    <row r="35" ht="16.5" customHeight="1" s="134">
      <c r="A35" s="53" t="inlineStr">
        <is>
          <t>114年12月</t>
        </is>
      </c>
      <c r="B35" s="246">
        <f>SUMIFS(M1:M5000,K1:K5000,A35,L1:L5000,"教育費")</f>
        <v/>
      </c>
      <c r="C35" s="246">
        <f>SUMIFS(M1:M5000,K1:K5000,A35,L1:L5000,"保險費")</f>
        <v/>
      </c>
      <c r="D35" s="246">
        <f>SUMIFS(M1:M5000,K1:K5000,A35,L1:L5000,"醫療費")</f>
        <v/>
      </c>
      <c r="E35" s="246">
        <f>B35+C35+D35</f>
        <v/>
      </c>
      <c r="F35" s="246">
        <f>E35/2</f>
        <v/>
      </c>
      <c r="G35" s="246">
        <f>E35/2</f>
        <v/>
      </c>
      <c r="H35" s="87" t="n"/>
      <c r="J35" s="274">
        <f>IF(COUNTIFS(K1:K5000,A35)&gt;0,1,0)</f>
        <v/>
      </c>
      <c r="K35" s="89" t="inlineStr">
        <is>
          <t>113年04月</t>
        </is>
      </c>
      <c r="L35" s="90" t="inlineStr">
        <is>
          <t>保險費</t>
        </is>
      </c>
      <c r="M35" s="275" t="n">
        <v>8537</v>
      </c>
      <c r="N35" s="92" t="inlineStr">
        <is>
          <t>113台灣人壽(維)</t>
        </is>
      </c>
      <c r="O35" s="274">
        <f>IF(K35="","",COUNTIFS($K$12:K35,K35))</f>
        <v/>
      </c>
      <c r="P35" s="93">
        <f>IF(K35="","",K35&amp;"|"&amp;O35)</f>
        <v/>
      </c>
    </row>
    <row r="36" ht="16.5" customHeight="1" s="134">
      <c r="A36" s="53" t="inlineStr">
        <is>
          <t>115年01月</t>
        </is>
      </c>
      <c r="B36" s="246">
        <f>SUMIFS(M1:M5000,K1:K5000,A36,L1:L5000,"教育費")</f>
        <v/>
      </c>
      <c r="C36" s="246">
        <f>SUMIFS(M1:M5000,K1:K5000,A36,L1:L5000,"保險費")</f>
        <v/>
      </c>
      <c r="D36" s="246">
        <f>SUMIFS(M1:M5000,K1:K5000,A36,L1:L5000,"醫療費")</f>
        <v/>
      </c>
      <c r="E36" s="246">
        <f>B36+C36+D36</f>
        <v/>
      </c>
      <c r="F36" s="246">
        <f>E36/2</f>
        <v/>
      </c>
      <c r="G36" s="246">
        <f>E36/2</f>
        <v/>
      </c>
      <c r="H36" s="87" t="n"/>
      <c r="J36" s="274">
        <f>IF(COUNTIFS(K1:K5000,A36)&gt;0,1,0)</f>
        <v/>
      </c>
      <c r="K36" s="89" t="inlineStr">
        <is>
          <t>113年04月</t>
        </is>
      </c>
      <c r="L36" s="90" t="inlineStr">
        <is>
          <t>醫療費</t>
        </is>
      </c>
      <c r="M36" s="275" t="n">
        <v>150</v>
      </c>
      <c r="N36" s="92" t="inlineStr">
        <is>
          <t>1130416(維)</t>
        </is>
      </c>
      <c r="O36" s="274">
        <f>IF(K36="","",COUNTIFS($K$12:K36,K36))</f>
        <v/>
      </c>
      <c r="P36" s="93">
        <f>IF(K36="","",K36&amp;"|"&amp;O36)</f>
        <v/>
      </c>
    </row>
    <row r="37" ht="16.5" customHeight="1" s="134">
      <c r="A37" s="53" t="inlineStr">
        <is>
          <t>115年02月</t>
        </is>
      </c>
      <c r="B37" s="246">
        <f>SUMIFS(M1:M5000,K1:K5000,A37,L1:L5000,"教育費")</f>
        <v/>
      </c>
      <c r="C37" s="246">
        <f>SUMIFS(M1:M5000,K1:K5000,A37,L1:L5000,"保險費")</f>
        <v/>
      </c>
      <c r="D37" s="246">
        <f>SUMIFS(M1:M5000,K1:K5000,A37,L1:L5000,"醫療費")</f>
        <v/>
      </c>
      <c r="E37" s="246">
        <f>B37+C37+D37</f>
        <v/>
      </c>
      <c r="F37" s="246">
        <f>E37/2</f>
        <v/>
      </c>
      <c r="G37" s="246">
        <f>E37/2</f>
        <v/>
      </c>
      <c r="H37" s="87" t="n"/>
      <c r="J37" s="274">
        <f>IF(COUNTIFS(K1:K5000,A37)&gt;0,1,0)</f>
        <v/>
      </c>
      <c r="K37" s="89" t="inlineStr">
        <is>
          <t>113年04月</t>
        </is>
      </c>
      <c r="L37" s="90" t="inlineStr">
        <is>
          <t>教育費</t>
        </is>
      </c>
      <c r="M37" s="275" t="n">
        <v>2000</v>
      </c>
      <c r="N37" s="92" t="inlineStr">
        <is>
          <t>11308小一先修(寧)</t>
        </is>
      </c>
      <c r="O37" s="274">
        <f>IF(K37="","",COUNTIFS($K$12:K37,K37))</f>
        <v/>
      </c>
      <c r="P37" s="93">
        <f>IF(K37="","",K37&amp;"|"&amp;O37)</f>
        <v/>
      </c>
    </row>
    <row r="38" ht="16.5" customHeight="1" s="134">
      <c r="A38" s="53" t="inlineStr">
        <is>
          <t>115年03月</t>
        </is>
      </c>
      <c r="B38" s="246">
        <f>SUMIFS(M1:M5000,K1:K5000,A38,L1:L5000,"教育費")</f>
        <v/>
      </c>
      <c r="C38" s="246">
        <f>SUMIFS(M1:M5000,K1:K5000,A38,L1:L5000,"保險費")</f>
        <v/>
      </c>
      <c r="D38" s="246">
        <f>SUMIFS(M1:M5000,K1:K5000,A38,L1:L5000,"醫療費")</f>
        <v/>
      </c>
      <c r="E38" s="246">
        <f>B38+C38+D38</f>
        <v/>
      </c>
      <c r="F38" s="246">
        <f>E38/2</f>
        <v/>
      </c>
      <c r="G38" s="246">
        <f>E38/2</f>
        <v/>
      </c>
      <c r="H38" s="87" t="n"/>
      <c r="J38" s="274">
        <f>IF(COUNTIFS(K1:K5000,A38)&gt;0,1,0)</f>
        <v/>
      </c>
      <c r="K38" s="89" t="inlineStr">
        <is>
          <t>113年04月</t>
        </is>
      </c>
      <c r="L38" s="90" t="inlineStr">
        <is>
          <t>教育費</t>
        </is>
      </c>
      <c r="M38" s="275" t="n">
        <v>1000</v>
      </c>
      <c r="N38" s="92" t="inlineStr">
        <is>
          <t>11309安親班訂金(寧)</t>
        </is>
      </c>
      <c r="O38" s="274">
        <f>IF(K38="","",COUNTIFS($K$12:K38,K38))</f>
        <v/>
      </c>
      <c r="P38" s="93">
        <f>IF(K38="","",K38&amp;"|"&amp;O38)</f>
        <v/>
      </c>
    </row>
    <row r="39" ht="16.5" customHeight="1" s="134">
      <c r="A39" s="53" t="inlineStr">
        <is>
          <t>115年04月</t>
        </is>
      </c>
      <c r="B39" s="246">
        <f>SUMIFS(M1:M5000,K1:K5000,A39,L1:L5000,"教育費")</f>
        <v/>
      </c>
      <c r="C39" s="246">
        <f>SUMIFS(M1:M5000,K1:K5000,A39,L1:L5000,"保險費")</f>
        <v/>
      </c>
      <c r="D39" s="246">
        <f>SUMIFS(M1:M5000,K1:K5000,A39,L1:L5000,"醫療費")</f>
        <v/>
      </c>
      <c r="E39" s="246">
        <f>B39+C39+D39</f>
        <v/>
      </c>
      <c r="F39" s="246">
        <f>E39/2</f>
        <v/>
      </c>
      <c r="G39" s="246">
        <f>E39/2</f>
        <v/>
      </c>
      <c r="H39" s="87" t="n"/>
      <c r="J39" s="274">
        <f>IF(COUNTIFS(K1:K5000,A39)&gt;0,1,0)</f>
        <v/>
      </c>
      <c r="K39" s="89" t="inlineStr">
        <is>
          <t>113年05月</t>
        </is>
      </c>
      <c r="L39" s="90" t="inlineStr">
        <is>
          <t>教育費</t>
        </is>
      </c>
      <c r="M39" s="275" t="n">
        <v>3000</v>
      </c>
      <c r="N39" s="92" t="inlineStr">
        <is>
          <t>11305準公托月費(寧)</t>
        </is>
      </c>
      <c r="O39" s="274">
        <f>IF(K39="","",COUNTIFS($K$12:K39,K39))</f>
        <v/>
      </c>
      <c r="P39" s="93">
        <f>IF(K39="","",K39&amp;"|"&amp;O39)</f>
        <v/>
      </c>
    </row>
    <row r="40" ht="16.5" customHeight="1" s="134">
      <c r="A40" s="53" t="inlineStr">
        <is>
          <t>115年05月</t>
        </is>
      </c>
      <c r="B40" s="246">
        <f>SUMIFS(M1:M5000,K1:K5000,A40,L1:L5000,"教育費")</f>
        <v/>
      </c>
      <c r="C40" s="246">
        <f>SUMIFS(M1:M5000,K1:K5000,A40,L1:L5000,"保險費")</f>
        <v/>
      </c>
      <c r="D40" s="246">
        <f>SUMIFS(M1:M5000,K1:K5000,A40,L1:L5000,"醫療費")</f>
        <v/>
      </c>
      <c r="E40" s="246">
        <f>B40+C40+D40</f>
        <v/>
      </c>
      <c r="F40" s="246">
        <f>E40/2</f>
        <v/>
      </c>
      <c r="G40" s="246">
        <f>E40/2</f>
        <v/>
      </c>
      <c r="H40" s="87" t="n"/>
      <c r="J40" s="274">
        <f>IF(COUNTIFS(K1:K5000,A40)&gt;0,1,0)</f>
        <v/>
      </c>
      <c r="K40" s="89" t="inlineStr">
        <is>
          <t>113年05月</t>
        </is>
      </c>
      <c r="L40" s="90" t="inlineStr">
        <is>
          <t>醫療費</t>
        </is>
      </c>
      <c r="M40" s="275" t="n">
        <v>150</v>
      </c>
      <c r="N40" s="92" t="inlineStr">
        <is>
          <t>1130506(維)</t>
        </is>
      </c>
      <c r="O40" s="274">
        <f>IF(K40="","",COUNTIFS($K$12:K40,K40))</f>
        <v/>
      </c>
      <c r="P40" s="93">
        <f>IF(K40="","",K40&amp;"|"&amp;O40)</f>
        <v/>
      </c>
    </row>
    <row r="41" ht="16.5" customHeight="1" s="134">
      <c r="A41" s="53" t="inlineStr">
        <is>
          <t>115年06月</t>
        </is>
      </c>
      <c r="B41" s="246">
        <f>SUMIFS(M1:M5000,K1:K5000,A41,L1:L5000,"教育費")</f>
        <v/>
      </c>
      <c r="C41" s="246">
        <f>SUMIFS(M1:M5000,K1:K5000,A41,L1:L5000,"保險費")</f>
        <v/>
      </c>
      <c r="D41" s="246">
        <f>SUMIFS(M1:M5000,K1:K5000,A41,L1:L5000,"醫療費")</f>
        <v/>
      </c>
      <c r="E41" s="246">
        <f>B41+C41+D41</f>
        <v/>
      </c>
      <c r="F41" s="246">
        <f>E41/2</f>
        <v/>
      </c>
      <c r="G41" s="246">
        <f>E41/2</f>
        <v/>
      </c>
      <c r="H41" s="87" t="n"/>
      <c r="J41" s="274">
        <f>IF(COUNTIFS(K1:K5000,A41)&gt;0,1,0)</f>
        <v/>
      </c>
      <c r="K41" s="89" t="inlineStr">
        <is>
          <t>113年05月</t>
        </is>
      </c>
      <c r="L41" s="90" t="inlineStr">
        <is>
          <t>醫療費</t>
        </is>
      </c>
      <c r="M41" s="275" t="n">
        <v>150</v>
      </c>
      <c r="N41" s="92" t="inlineStr">
        <is>
          <t>1130513(維)</t>
        </is>
      </c>
      <c r="O41" s="274">
        <f>IF(K41="","",COUNTIFS($K$12:K41,K41))</f>
        <v/>
      </c>
      <c r="P41" s="93">
        <f>IF(K41="","",K41&amp;"|"&amp;O41)</f>
        <v/>
      </c>
    </row>
    <row r="42" ht="16.5" customHeight="1" s="134">
      <c r="A42" s="53" t="inlineStr">
        <is>
          <t>115年07月</t>
        </is>
      </c>
      <c r="B42" s="246">
        <f>SUMIFS(M1:M5000,K1:K5000,A42,L1:L5000,"教育費")</f>
        <v/>
      </c>
      <c r="C42" s="246">
        <f>SUMIFS(M1:M5000,K1:K5000,A42,L1:L5000,"保險費")</f>
        <v/>
      </c>
      <c r="D42" s="246">
        <f>SUMIFS(M1:M5000,K1:K5000,A42,L1:L5000,"醫療費")</f>
        <v/>
      </c>
      <c r="E42" s="246">
        <f>B42+C42+D42</f>
        <v/>
      </c>
      <c r="F42" s="246">
        <f>E42/2</f>
        <v/>
      </c>
      <c r="G42" s="246">
        <f>E42/2</f>
        <v/>
      </c>
      <c r="H42" s="87" t="n"/>
      <c r="J42" s="274">
        <f>IF(COUNTIFS(K1:K5000,A42)&gt;0,1,0)</f>
        <v/>
      </c>
      <c r="K42" s="89" t="inlineStr">
        <is>
          <t>113年05月</t>
        </is>
      </c>
      <c r="L42" s="90" t="inlineStr">
        <is>
          <t>醫療費</t>
        </is>
      </c>
      <c r="M42" s="275" t="n">
        <v>610</v>
      </c>
      <c r="N42" s="92" t="inlineStr">
        <is>
          <t>1130516(寧)</t>
        </is>
      </c>
      <c r="O42" s="274">
        <f>IF(K42="","",COUNTIFS($K$12:K42,K42))</f>
        <v/>
      </c>
      <c r="P42" s="93">
        <f>IF(K42="","",K42&amp;"|"&amp;O42)</f>
        <v/>
      </c>
    </row>
    <row r="43" ht="16.5" customHeight="1" s="134">
      <c r="A43" s="53" t="inlineStr">
        <is>
          <t>115年08月</t>
        </is>
      </c>
      <c r="B43" s="246">
        <f>SUMIFS(M1:M5000,K1:K5000,A43,L1:L5000,"教育費")</f>
        <v/>
      </c>
      <c r="C43" s="246">
        <f>SUMIFS(M1:M5000,K1:K5000,A43,L1:L5000,"保險費")</f>
        <v/>
      </c>
      <c r="D43" s="246">
        <f>SUMIFS(M1:M5000,K1:K5000,A43,L1:L5000,"醫療費")</f>
        <v/>
      </c>
      <c r="E43" s="246">
        <f>B43+C43+D43</f>
        <v/>
      </c>
      <c r="F43" s="246">
        <f>E43/2</f>
        <v/>
      </c>
      <c r="G43" s="246">
        <f>E43/2</f>
        <v/>
      </c>
      <c r="H43" s="87" t="n"/>
      <c r="J43" s="274">
        <f>IF(COUNTIFS(K1:K5000,A43)&gt;0,1,0)</f>
        <v/>
      </c>
      <c r="K43" s="89" t="inlineStr">
        <is>
          <t>113年05月</t>
        </is>
      </c>
      <c r="L43" s="90" t="inlineStr">
        <is>
          <t>醫療費</t>
        </is>
      </c>
      <c r="M43" s="275" t="n">
        <v>590</v>
      </c>
      <c r="N43" s="92" t="inlineStr">
        <is>
          <t>1130523(寧)</t>
        </is>
      </c>
      <c r="O43" s="274">
        <f>IF(K43="","",COUNTIFS($K$12:K43,K43))</f>
        <v/>
      </c>
      <c r="P43" s="93">
        <f>IF(K43="","",K43&amp;"|"&amp;O43)</f>
        <v/>
      </c>
    </row>
    <row r="44" ht="16.5" customHeight="1" s="134">
      <c r="A44" s="53" t="inlineStr">
        <is>
          <t>115年09月</t>
        </is>
      </c>
      <c r="B44" s="246">
        <f>SUMIFS(M1:M5000,K1:K5000,A44,L1:L5000,"教育費")</f>
        <v/>
      </c>
      <c r="C44" s="246">
        <f>SUMIFS(M1:M5000,K1:K5000,A44,L1:L5000,"保險費")</f>
        <v/>
      </c>
      <c r="D44" s="246">
        <f>SUMIFS(M1:M5000,K1:K5000,A44,L1:L5000,"醫療費")</f>
        <v/>
      </c>
      <c r="E44" s="246">
        <f>B44+C44+D44</f>
        <v/>
      </c>
      <c r="F44" s="246">
        <f>E44/2</f>
        <v/>
      </c>
      <c r="G44" s="246">
        <f>E44/2</f>
        <v/>
      </c>
      <c r="H44" s="87" t="n"/>
      <c r="J44" s="274">
        <f>IF(COUNTIFS(K1:K5000,A44)&gt;0,1,0)</f>
        <v/>
      </c>
      <c r="K44" s="89" t="inlineStr">
        <is>
          <t>113年05月</t>
        </is>
      </c>
      <c r="L44" s="90" t="inlineStr">
        <is>
          <t>醫療費</t>
        </is>
      </c>
      <c r="M44" s="275" t="n">
        <v>300</v>
      </c>
      <c r="N44" s="92" t="inlineStr">
        <is>
          <t>1130526(維)</t>
        </is>
      </c>
      <c r="O44" s="274">
        <f>IF(K44="","",COUNTIFS($K$12:K44,K44))</f>
        <v/>
      </c>
      <c r="P44" s="93">
        <f>IF(K44="","",K44&amp;"|"&amp;O44)</f>
        <v/>
      </c>
    </row>
    <row r="45" ht="16.5" customHeight="1" s="134">
      <c r="A45" s="62" t="inlineStr">
        <is>
          <t>115年10月</t>
        </is>
      </c>
      <c r="B45" s="255">
        <f>SUMIFS(M1:M5000,K1:K5000,A45,L1:L5000,"教育費")</f>
        <v/>
      </c>
      <c r="C45" s="255">
        <f>SUMIFS(M1:M5000,K1:K5000,A45,L1:L5000,"保險費")</f>
        <v/>
      </c>
      <c r="D45" s="255">
        <f>SUMIFS(M1:M5000,K1:K5000,A45,L1:L5000,"醫療費")</f>
        <v/>
      </c>
      <c r="E45" s="255">
        <f>B45+C45+D45</f>
        <v/>
      </c>
      <c r="F45" s="255">
        <f>E45/2</f>
        <v/>
      </c>
      <c r="G45" s="255">
        <f>E45/2</f>
        <v/>
      </c>
      <c r="H45" s="95" t="inlineStr">
        <is>
          <t>← 明細清單新增當月項目後自動加總</t>
        </is>
      </c>
      <c r="J45" s="274">
        <f>IF(COUNTIFS(K1:K5000,A45)&gt;0,1,0)</f>
        <v/>
      </c>
      <c r="K45" s="89" t="inlineStr">
        <is>
          <t>113年05月</t>
        </is>
      </c>
      <c r="L45" s="90" t="inlineStr">
        <is>
          <t>醫療費</t>
        </is>
      </c>
      <c r="M45" s="275" t="n">
        <v>370</v>
      </c>
      <c r="N45" s="92" t="inlineStr">
        <is>
          <t>1130528(維)</t>
        </is>
      </c>
      <c r="O45" s="274">
        <f>IF(K45="","",COUNTIFS($K$12:K45,K45))</f>
        <v/>
      </c>
      <c r="P45" s="93">
        <f>IF(K45="","",K45&amp;"|"&amp;O45)</f>
        <v/>
      </c>
    </row>
    <row r="46" ht="16.5" customHeight="1" s="134">
      <c r="A46" s="62" t="inlineStr">
        <is>
          <t>115年11月</t>
        </is>
      </c>
      <c r="B46" s="255">
        <f>SUMIFS(M1:M5000,K1:K5000,A46,L1:L5000,"教育費")</f>
        <v/>
      </c>
      <c r="C46" s="255">
        <f>SUMIFS(M1:M5000,K1:K5000,A46,L1:L5000,"保險費")</f>
        <v/>
      </c>
      <c r="D46" s="255">
        <f>SUMIFS(M1:M5000,K1:K5000,A46,L1:L5000,"醫療費")</f>
        <v/>
      </c>
      <c r="E46" s="255">
        <f>B46+C46+D46</f>
        <v/>
      </c>
      <c r="F46" s="255">
        <f>E46/2</f>
        <v/>
      </c>
      <c r="G46" s="255">
        <f>E46/2</f>
        <v/>
      </c>
      <c r="H46" s="95" t="inlineStr">
        <is>
          <t>← 明細清單新增當月項目後自動加總</t>
        </is>
      </c>
      <c r="J46" s="274">
        <f>IF(COUNTIFS(K1:K5000,A46)&gt;0,1,0)</f>
        <v/>
      </c>
      <c r="K46" s="89" t="inlineStr">
        <is>
          <t>113年05月</t>
        </is>
      </c>
      <c r="L46" s="90" t="inlineStr">
        <is>
          <t>醫療費</t>
        </is>
      </c>
      <c r="M46" s="275" t="n">
        <v>180</v>
      </c>
      <c r="N46" s="92" t="inlineStr">
        <is>
          <t>1130529(寧)</t>
        </is>
      </c>
      <c r="O46" s="274">
        <f>IF(K46="","",COUNTIFS($K$12:K46,K46))</f>
        <v/>
      </c>
      <c r="P46" s="93">
        <f>IF(K46="","",K46&amp;"|"&amp;O46)</f>
        <v/>
      </c>
    </row>
    <row r="47" ht="16.5" customHeight="1" s="134">
      <c r="A47" s="62" t="inlineStr">
        <is>
          <t>115年12月</t>
        </is>
      </c>
      <c r="B47" s="255">
        <f>SUMIFS(M1:M5000,K1:K5000,A47,L1:L5000,"教育費")</f>
        <v/>
      </c>
      <c r="C47" s="255">
        <f>SUMIFS(M1:M5000,K1:K5000,A47,L1:L5000,"保險費")</f>
        <v/>
      </c>
      <c r="D47" s="255">
        <f>SUMIFS(M1:M5000,K1:K5000,A47,L1:L5000,"醫療費")</f>
        <v/>
      </c>
      <c r="E47" s="255">
        <f>B47+C47+D47</f>
        <v/>
      </c>
      <c r="F47" s="255">
        <f>E47/2</f>
        <v/>
      </c>
      <c r="G47" s="255">
        <f>E47/2</f>
        <v/>
      </c>
      <c r="H47" s="95" t="inlineStr">
        <is>
          <t>← 明細清單新增當月項目後自動加總</t>
        </is>
      </c>
      <c r="J47" s="274">
        <f>IF(COUNTIFS(K1:K5000,A47)&gt;0,1,0)</f>
        <v/>
      </c>
      <c r="K47" s="89" t="inlineStr">
        <is>
          <t>113年06月</t>
        </is>
      </c>
      <c r="L47" s="90" t="inlineStr">
        <is>
          <t>教育費</t>
        </is>
      </c>
      <c r="M47" s="275" t="n">
        <v>3000</v>
      </c>
      <c r="N47" s="92" t="inlineStr">
        <is>
          <t>11306準公托月費(寧)</t>
        </is>
      </c>
      <c r="O47" s="274">
        <f>IF(K47="","",COUNTIFS($K$12:K47,K47))</f>
        <v/>
      </c>
      <c r="P47" s="93">
        <f>IF(K47="","",K47&amp;"|"&amp;O47)</f>
        <v/>
      </c>
    </row>
    <row r="48" ht="16.5" customHeight="1" s="134">
      <c r="A48" s="62" t="inlineStr">
        <is>
          <t>116年01月</t>
        </is>
      </c>
      <c r="B48" s="255">
        <f>SUMIFS(M1:M5000,K1:K5000,A48,L1:L5000,"教育費")</f>
        <v/>
      </c>
      <c r="C48" s="255">
        <f>SUMIFS(M1:M5000,K1:K5000,A48,L1:L5000,"保險費")</f>
        <v/>
      </c>
      <c r="D48" s="255">
        <f>SUMIFS(M1:M5000,K1:K5000,A48,L1:L5000,"醫療費")</f>
        <v/>
      </c>
      <c r="E48" s="255">
        <f>B48+C48+D48</f>
        <v/>
      </c>
      <c r="F48" s="255">
        <f>E48/2</f>
        <v/>
      </c>
      <c r="G48" s="255">
        <f>E48/2</f>
        <v/>
      </c>
      <c r="H48" s="95" t="inlineStr">
        <is>
          <t>← 明細清單新增當月項目後自動加總</t>
        </is>
      </c>
      <c r="J48" s="274">
        <f>IF(COUNTIFS(K1:K5000,A48)&gt;0,1,0)</f>
        <v/>
      </c>
      <c r="K48" s="89" t="inlineStr">
        <is>
          <t>113年06月</t>
        </is>
      </c>
      <c r="L48" s="90" t="inlineStr">
        <is>
          <t>醫療費</t>
        </is>
      </c>
      <c r="M48" s="275" t="n">
        <v>562</v>
      </c>
      <c r="N48" s="92" t="inlineStr">
        <is>
          <t>1130606(寧)</t>
        </is>
      </c>
      <c r="O48" s="274">
        <f>IF(K48="","",COUNTIFS($K$12:K48,K48))</f>
        <v/>
      </c>
      <c r="P48" s="93">
        <f>IF(K48="","",K48&amp;"|"&amp;O48)</f>
        <v/>
      </c>
    </row>
    <row r="49" ht="16.5" customHeight="1" s="134">
      <c r="A49" s="62" t="inlineStr">
        <is>
          <t>116年02月</t>
        </is>
      </c>
      <c r="B49" s="255">
        <f>SUMIFS(M1:M5000,K1:K5000,A49,L1:L5000,"教育費")</f>
        <v/>
      </c>
      <c r="C49" s="255">
        <f>SUMIFS(M1:M5000,K1:K5000,A49,L1:L5000,"保險費")</f>
        <v/>
      </c>
      <c r="D49" s="255">
        <f>SUMIFS(M1:M5000,K1:K5000,A49,L1:L5000,"醫療費")</f>
        <v/>
      </c>
      <c r="E49" s="255">
        <f>B49+C49+D49</f>
        <v/>
      </c>
      <c r="F49" s="255">
        <f>E49/2</f>
        <v/>
      </c>
      <c r="G49" s="255">
        <f>E49/2</f>
        <v/>
      </c>
      <c r="H49" s="95" t="inlineStr">
        <is>
          <t>← 明細清單新增當月項目後自動加總</t>
        </is>
      </c>
      <c r="J49" s="274">
        <f>IF(COUNTIFS(K1:K5000,A49)&gt;0,1,0)</f>
        <v/>
      </c>
      <c r="K49" s="89" t="inlineStr">
        <is>
          <t>113年06月</t>
        </is>
      </c>
      <c r="L49" s="90" t="inlineStr">
        <is>
          <t>教育費</t>
        </is>
      </c>
      <c r="M49" s="275" t="n">
        <v>3360</v>
      </c>
      <c r="N49" s="92" t="inlineStr">
        <is>
          <t>8/1-8/29(寧安親班)訂金</t>
        </is>
      </c>
      <c r="O49" s="274">
        <f>IF(K49="","",COUNTIFS($K$12:K49,K49))</f>
        <v/>
      </c>
      <c r="P49" s="93">
        <f>IF(K49="","",K49&amp;"|"&amp;O49)</f>
        <v/>
      </c>
    </row>
    <row r="50" ht="16.5" customHeight="1" s="134">
      <c r="A50" s="62" t="inlineStr">
        <is>
          <t>116年03月</t>
        </is>
      </c>
      <c r="B50" s="255">
        <f>SUMIFS(M1:M5000,K1:K5000,A50,L1:L5000,"教育費")</f>
        <v/>
      </c>
      <c r="C50" s="255">
        <f>SUMIFS(M1:M5000,K1:K5000,A50,L1:L5000,"保險費")</f>
        <v/>
      </c>
      <c r="D50" s="255">
        <f>SUMIFS(M1:M5000,K1:K5000,A50,L1:L5000,"醫療費")</f>
        <v/>
      </c>
      <c r="E50" s="255">
        <f>B50+C50+D50</f>
        <v/>
      </c>
      <c r="F50" s="255">
        <f>E50/2</f>
        <v/>
      </c>
      <c r="G50" s="255">
        <f>E50/2</f>
        <v/>
      </c>
      <c r="H50" s="95" t="inlineStr">
        <is>
          <t>← 明細清單新增當月項目後自動加總</t>
        </is>
      </c>
      <c r="J50" s="274">
        <f>IF(COUNTIFS(K1:K5000,A50)&gt;0,1,0)</f>
        <v/>
      </c>
      <c r="K50" s="89" t="inlineStr">
        <is>
          <t>113年06月</t>
        </is>
      </c>
      <c r="L50" s="90" t="inlineStr">
        <is>
          <t>醫療費</t>
        </is>
      </c>
      <c r="M50" s="275" t="n">
        <v>630</v>
      </c>
      <c r="N50" s="92" t="inlineStr">
        <is>
          <t>1130605(維)</t>
        </is>
      </c>
      <c r="O50" s="274">
        <f>IF(K50="","",COUNTIFS($K$12:K50,K50))</f>
        <v/>
      </c>
      <c r="P50" s="93">
        <f>IF(K50="","",K50&amp;"|"&amp;O50)</f>
        <v/>
      </c>
    </row>
    <row r="51" ht="16.5" customHeight="1" s="134">
      <c r="A51" s="62" t="inlineStr">
        <is>
          <t>116年04月</t>
        </is>
      </c>
      <c r="B51" s="255">
        <f>SUMIFS(M1:M5000,K1:K5000,A51,L1:L5000,"教育費")</f>
        <v/>
      </c>
      <c r="C51" s="255">
        <f>SUMIFS(M1:M5000,K1:K5000,A51,L1:L5000,"保險費")</f>
        <v/>
      </c>
      <c r="D51" s="255">
        <f>SUMIFS(M1:M5000,K1:K5000,A51,L1:L5000,"醫療費")</f>
        <v/>
      </c>
      <c r="E51" s="255">
        <f>B51+C51+D51</f>
        <v/>
      </c>
      <c r="F51" s="255">
        <f>E51/2</f>
        <v/>
      </c>
      <c r="G51" s="255">
        <f>E51/2</f>
        <v/>
      </c>
      <c r="H51" s="95" t="inlineStr">
        <is>
          <t>← 明細清單新增當月項目後自動加總</t>
        </is>
      </c>
      <c r="J51" s="274">
        <f>IF(COUNTIFS(K1:K5000,A51)&gt;0,1,0)</f>
        <v/>
      </c>
      <c r="K51" s="89" t="inlineStr">
        <is>
          <t>113年06月</t>
        </is>
      </c>
      <c r="L51" s="90" t="inlineStr">
        <is>
          <t>教育費</t>
        </is>
      </c>
      <c r="M51" s="275" t="n">
        <v>2000</v>
      </c>
      <c r="N51" s="92" t="inlineStr">
        <is>
          <t>9/2-9/30(寧英文班)訂金</t>
        </is>
      </c>
      <c r="O51" s="274">
        <f>IF(K51="","",COUNTIFS($K$12:K51,K51))</f>
        <v/>
      </c>
      <c r="P51" s="93">
        <f>IF(K51="","",K51&amp;"|"&amp;O51)</f>
        <v/>
      </c>
    </row>
    <row r="52" ht="16.5" customHeight="1" s="134">
      <c r="A52" s="62" t="inlineStr">
        <is>
          <t>116年05月</t>
        </is>
      </c>
      <c r="B52" s="255">
        <f>SUMIFS(M1:M5000,K1:K5000,A52,L1:L5000,"教育費")</f>
        <v/>
      </c>
      <c r="C52" s="255">
        <f>SUMIFS(M1:M5000,K1:K5000,A52,L1:L5000,"保險費")</f>
        <v/>
      </c>
      <c r="D52" s="255">
        <f>SUMIFS(M1:M5000,K1:K5000,A52,L1:L5000,"醫療費")</f>
        <v/>
      </c>
      <c r="E52" s="255">
        <f>B52+C52+D52</f>
        <v/>
      </c>
      <c r="F52" s="255">
        <f>E52/2</f>
        <v/>
      </c>
      <c r="G52" s="255">
        <f>E52/2</f>
        <v/>
      </c>
      <c r="H52" s="95" t="inlineStr">
        <is>
          <t>← 明細清單新增當月項目後自動加總</t>
        </is>
      </c>
      <c r="J52" s="274">
        <f>IF(COUNTIFS(K1:K5000,A52)&gt;0,1,0)</f>
        <v/>
      </c>
      <c r="K52" s="89" t="inlineStr">
        <is>
          <t>113年06月</t>
        </is>
      </c>
      <c r="L52" s="90" t="inlineStr">
        <is>
          <t>醫療費</t>
        </is>
      </c>
      <c r="M52" s="275" t="n">
        <v>610</v>
      </c>
      <c r="N52" s="92" t="inlineStr">
        <is>
          <t>1130626(寧)</t>
        </is>
      </c>
      <c r="O52" s="274">
        <f>IF(K52="","",COUNTIFS($K$12:K52,K52))</f>
        <v/>
      </c>
      <c r="P52" s="93">
        <f>IF(K52="","",K52&amp;"|"&amp;O52)</f>
        <v/>
      </c>
    </row>
    <row r="53" ht="16.5" customHeight="1" s="134">
      <c r="A53" s="62" t="inlineStr">
        <is>
          <t>116年06月</t>
        </is>
      </c>
      <c r="B53" s="255">
        <f>SUMIFS(M1:M5000,K1:K5000,A53,L1:L5000,"教育費")</f>
        <v/>
      </c>
      <c r="C53" s="255">
        <f>SUMIFS(M1:M5000,K1:K5000,A53,L1:L5000,"保險費")</f>
        <v/>
      </c>
      <c r="D53" s="255">
        <f>SUMIFS(M1:M5000,K1:K5000,A53,L1:L5000,"醫療費")</f>
        <v/>
      </c>
      <c r="E53" s="255">
        <f>B53+C53+D53</f>
        <v/>
      </c>
      <c r="F53" s="255">
        <f>E53/2</f>
        <v/>
      </c>
      <c r="G53" s="255">
        <f>E53/2</f>
        <v/>
      </c>
      <c r="H53" s="95" t="inlineStr">
        <is>
          <t>← 明細清單新增當月項目後自動加總</t>
        </is>
      </c>
      <c r="J53" s="274">
        <f>IF(COUNTIFS(K1:K5000,A53)&gt;0,1,0)</f>
        <v/>
      </c>
      <c r="K53" s="89" t="inlineStr">
        <is>
          <t>113年06月</t>
        </is>
      </c>
      <c r="L53" s="90" t="inlineStr">
        <is>
          <t>醫療費</t>
        </is>
      </c>
      <c r="M53" s="275" t="n">
        <v>150</v>
      </c>
      <c r="N53" s="92" t="inlineStr">
        <is>
          <t>1130626(維)</t>
        </is>
      </c>
      <c r="O53" s="274">
        <f>IF(K53="","",COUNTIFS($K$12:K53,K53))</f>
        <v/>
      </c>
      <c r="P53" s="93">
        <f>IF(K53="","",K53&amp;"|"&amp;O53)</f>
        <v/>
      </c>
    </row>
    <row r="54" ht="16.5" customHeight="1" s="134">
      <c r="A54" s="62" t="inlineStr">
        <is>
          <t>116年07月</t>
        </is>
      </c>
      <c r="B54" s="255">
        <f>SUMIFS(M1:M5000,K1:K5000,A54,L1:L5000,"教育費")</f>
        <v/>
      </c>
      <c r="C54" s="255">
        <f>SUMIFS(M1:M5000,K1:K5000,A54,L1:L5000,"保險費")</f>
        <v/>
      </c>
      <c r="D54" s="255">
        <f>SUMIFS(M1:M5000,K1:K5000,A54,L1:L5000,"醫療費")</f>
        <v/>
      </c>
      <c r="E54" s="255">
        <f>B54+C54+D54</f>
        <v/>
      </c>
      <c r="F54" s="255">
        <f>E54/2</f>
        <v/>
      </c>
      <c r="G54" s="255">
        <f>E54/2</f>
        <v/>
      </c>
      <c r="H54" s="95" t="inlineStr">
        <is>
          <t>← 明細清單新增當月項目後自動加總</t>
        </is>
      </c>
      <c r="J54" s="274">
        <f>IF(COUNTIFS(K1:K5000,A54)&gt;0,1,0)</f>
        <v/>
      </c>
      <c r="K54" s="89" t="inlineStr">
        <is>
          <t>113年07月</t>
        </is>
      </c>
      <c r="L54" s="90" t="inlineStr">
        <is>
          <t>教育費</t>
        </is>
      </c>
      <c r="M54" s="275" t="n">
        <v>3000</v>
      </c>
      <c r="N54" s="92" t="inlineStr">
        <is>
          <t>11306準公托月費(寧)</t>
        </is>
      </c>
      <c r="O54" s="274">
        <f>IF(K54="","",COUNTIFS($K$12:K54,K54))</f>
        <v/>
      </c>
      <c r="P54" s="93">
        <f>IF(K54="","",K54&amp;"|"&amp;O54)</f>
        <v/>
      </c>
    </row>
    <row r="55" ht="16.5" customHeight="1" s="134">
      <c r="A55" s="62" t="inlineStr">
        <is>
          <t>116年08月</t>
        </is>
      </c>
      <c r="B55" s="255">
        <f>SUMIFS(M1:M5000,K1:K5000,A55,L1:L5000,"教育費")</f>
        <v/>
      </c>
      <c r="C55" s="255">
        <f>SUMIFS(M1:M5000,K1:K5000,A55,L1:L5000,"保險費")</f>
        <v/>
      </c>
      <c r="D55" s="255">
        <f>SUMIFS(M1:M5000,K1:K5000,A55,L1:L5000,"醫療費")</f>
        <v/>
      </c>
      <c r="E55" s="255">
        <f>B55+C55+D55</f>
        <v/>
      </c>
      <c r="F55" s="255">
        <f>E55/2</f>
        <v/>
      </c>
      <c r="G55" s="255">
        <f>E55/2</f>
        <v/>
      </c>
      <c r="H55" s="95" t="inlineStr">
        <is>
          <t>← 明細清單新增當月項目後自動加總</t>
        </is>
      </c>
      <c r="J55" s="274">
        <f>IF(COUNTIFS(K1:K5000,A55)&gt;0,1,0)</f>
        <v/>
      </c>
      <c r="K55" s="89" t="inlineStr">
        <is>
          <t>113年07月</t>
        </is>
      </c>
      <c r="L55" s="90" t="inlineStr">
        <is>
          <t>保險費</t>
        </is>
      </c>
      <c r="M55" s="275" t="n">
        <v>1614</v>
      </c>
      <c r="N55" s="94" t="inlineStr">
        <is>
          <t>新安產險(寧)</t>
        </is>
      </c>
      <c r="O55" s="274">
        <f>IF(K55="","",COUNTIFS($K$12:K55,K55))</f>
        <v/>
      </c>
      <c r="P55" s="93">
        <f>IF(K55="","",K55&amp;"|"&amp;O55)</f>
        <v/>
      </c>
    </row>
    <row r="56" ht="16.5" customHeight="1" s="134">
      <c r="A56" s="62" t="inlineStr">
        <is>
          <t>116年09月</t>
        </is>
      </c>
      <c r="B56" s="255">
        <f>SUMIFS(M1:M5000,K1:K5000,A56,L1:L5000,"教育費")</f>
        <v/>
      </c>
      <c r="C56" s="255">
        <f>SUMIFS(M1:M5000,K1:K5000,A56,L1:L5000,"保險費")</f>
        <v/>
      </c>
      <c r="D56" s="255">
        <f>SUMIFS(M1:M5000,K1:K5000,A56,L1:L5000,"醫療費")</f>
        <v/>
      </c>
      <c r="E56" s="255">
        <f>B56+C56+D56</f>
        <v/>
      </c>
      <c r="F56" s="255">
        <f>E56/2</f>
        <v/>
      </c>
      <c r="G56" s="255">
        <f>E56/2</f>
        <v/>
      </c>
      <c r="H56" s="95" t="inlineStr">
        <is>
          <t>← 明細清單新增當月項目後自動加總</t>
        </is>
      </c>
      <c r="J56" s="274">
        <f>IF(COUNTIFS(K1:K5000,A56)&gt;0,1,0)</f>
        <v/>
      </c>
      <c r="K56" s="89" t="inlineStr">
        <is>
          <t>113年07月</t>
        </is>
      </c>
      <c r="L56" s="90" t="inlineStr">
        <is>
          <t>醫療費</t>
        </is>
      </c>
      <c r="M56" s="275" t="n">
        <v>580</v>
      </c>
      <c r="N56" s="92" t="inlineStr">
        <is>
          <t>1130703(寧)</t>
        </is>
      </c>
      <c r="O56" s="274">
        <f>IF(K56="","",COUNTIFS($K$12:K56,K56))</f>
        <v/>
      </c>
      <c r="P56" s="93">
        <f>IF(K56="","",K56&amp;"|"&amp;O56)</f>
        <v/>
      </c>
    </row>
    <row r="57" ht="16.5" customHeight="1" s="134">
      <c r="A57" s="62" t="inlineStr">
        <is>
          <t>116年10月</t>
        </is>
      </c>
      <c r="B57" s="255">
        <f>SUMIFS(M1:M5000,K1:K5000,A57,L1:L5000,"教育費")</f>
        <v/>
      </c>
      <c r="C57" s="255">
        <f>SUMIFS(M1:M5000,K1:K5000,A57,L1:L5000,"保險費")</f>
        <v/>
      </c>
      <c r="D57" s="255">
        <f>SUMIFS(M1:M5000,K1:K5000,A57,L1:L5000,"醫療費")</f>
        <v/>
      </c>
      <c r="E57" s="255">
        <f>B57+C57+D57</f>
        <v/>
      </c>
      <c r="F57" s="255">
        <f>E57/2</f>
        <v/>
      </c>
      <c r="G57" s="255">
        <f>E57/2</f>
        <v/>
      </c>
      <c r="H57" s="95" t="inlineStr">
        <is>
          <t>← 明細清單新增當月項目後自動加總</t>
        </is>
      </c>
      <c r="J57" s="274">
        <f>IF(COUNTIFS(K1:K5000,A57)&gt;0,1,0)</f>
        <v/>
      </c>
      <c r="K57" s="89" t="inlineStr">
        <is>
          <t>113年07月</t>
        </is>
      </c>
      <c r="L57" s="90" t="inlineStr">
        <is>
          <t>教育費</t>
        </is>
      </c>
      <c r="M57" s="275" t="n">
        <v>500</v>
      </c>
      <c r="N57" s="94" t="inlineStr">
        <is>
          <t>租衣費(寧)</t>
        </is>
      </c>
      <c r="O57" s="274">
        <f>IF(K57="","",COUNTIFS($K$12:K57,K57))</f>
        <v/>
      </c>
      <c r="P57" s="93">
        <f>IF(K57="","",K57&amp;"|"&amp;O57)</f>
        <v/>
      </c>
    </row>
    <row r="58" ht="16.5" customHeight="1" s="134">
      <c r="A58" s="62" t="inlineStr">
        <is>
          <t>116年11月</t>
        </is>
      </c>
      <c r="B58" s="255">
        <f>SUMIFS(M1:M5000,K1:K5000,A58,L1:L5000,"教育費")</f>
        <v/>
      </c>
      <c r="C58" s="255">
        <f>SUMIFS(M1:M5000,K1:K5000,A58,L1:L5000,"保險費")</f>
        <v/>
      </c>
      <c r="D58" s="255">
        <f>SUMIFS(M1:M5000,K1:K5000,A58,L1:L5000,"醫療費")</f>
        <v/>
      </c>
      <c r="E58" s="255">
        <f>B58+C58+D58</f>
        <v/>
      </c>
      <c r="F58" s="255">
        <f>E58/2</f>
        <v/>
      </c>
      <c r="G58" s="255">
        <f>E58/2</f>
        <v/>
      </c>
      <c r="H58" s="95" t="inlineStr">
        <is>
          <t>← 明細清單新增當月項目後自動加總</t>
        </is>
      </c>
      <c r="J58" s="274">
        <f>IF(COUNTIFS(K1:K5000,A58)&gt;0,1,0)</f>
        <v/>
      </c>
      <c r="K58" s="89" t="inlineStr">
        <is>
          <t>113年07月</t>
        </is>
      </c>
      <c r="L58" s="90" t="inlineStr">
        <is>
          <t>保險費</t>
        </is>
      </c>
      <c r="M58" s="275" t="n">
        <v>6634</v>
      </c>
      <c r="N58" s="94" t="inlineStr">
        <is>
          <t>台灣人壽(寧)</t>
        </is>
      </c>
      <c r="O58" s="274">
        <f>IF(K58="","",COUNTIFS($K$12:K58,K58))</f>
        <v/>
      </c>
      <c r="P58" s="93">
        <f>IF(K58="","",K58&amp;"|"&amp;O58)</f>
        <v/>
      </c>
    </row>
    <row r="59" ht="16.5" customHeight="1" s="134">
      <c r="A59" s="62" t="inlineStr">
        <is>
          <t>116年12月</t>
        </is>
      </c>
      <c r="B59" s="255">
        <f>SUMIFS(M1:M5000,K1:K5000,A59,L1:L5000,"教育費")</f>
        <v/>
      </c>
      <c r="C59" s="255">
        <f>SUMIFS(M1:M5000,K1:K5000,A59,L1:L5000,"保險費")</f>
        <v/>
      </c>
      <c r="D59" s="255">
        <f>SUMIFS(M1:M5000,K1:K5000,A59,L1:L5000,"醫療費")</f>
        <v/>
      </c>
      <c r="E59" s="255">
        <f>B59+C59+D59</f>
        <v/>
      </c>
      <c r="F59" s="255">
        <f>E59/2</f>
        <v/>
      </c>
      <c r="G59" s="255">
        <f>E59/2</f>
        <v/>
      </c>
      <c r="H59" s="95" t="inlineStr">
        <is>
          <t>← 明細清單新增當月項目後自動加總</t>
        </is>
      </c>
      <c r="J59" s="274">
        <f>IF(COUNTIFS(K1:K5000,A59)&gt;0,1,0)</f>
        <v/>
      </c>
      <c r="K59" s="89" t="inlineStr">
        <is>
          <t>113年07月</t>
        </is>
      </c>
      <c r="L59" s="90" t="inlineStr">
        <is>
          <t>醫療費</t>
        </is>
      </c>
      <c r="M59" s="275" t="n">
        <v>150</v>
      </c>
      <c r="N59" s="92" t="inlineStr">
        <is>
          <t>1130703(維)</t>
        </is>
      </c>
      <c r="O59" s="274">
        <f>IF(K59="","",COUNTIFS($K$12:K59,K59))</f>
        <v/>
      </c>
      <c r="P59" s="93">
        <f>IF(K59="","",K59&amp;"|"&amp;O59)</f>
        <v/>
      </c>
    </row>
    <row r="60" ht="16.5" customHeight="1" s="134">
      <c r="A60" s="62" t="inlineStr">
        <is>
          <t>117年01月</t>
        </is>
      </c>
      <c r="B60" s="255">
        <f>SUMIFS(M1:M5000,K1:K5000,A60,L1:L5000,"教育費")</f>
        <v/>
      </c>
      <c r="C60" s="255">
        <f>SUMIFS(M1:M5000,K1:K5000,A60,L1:L5000,"保險費")</f>
        <v/>
      </c>
      <c r="D60" s="255">
        <f>SUMIFS(M1:M5000,K1:K5000,A60,L1:L5000,"醫療費")</f>
        <v/>
      </c>
      <c r="E60" s="255">
        <f>B60+C60+D60</f>
        <v/>
      </c>
      <c r="F60" s="255">
        <f>E60/2</f>
        <v/>
      </c>
      <c r="G60" s="255">
        <f>E60/2</f>
        <v/>
      </c>
      <c r="H60" s="95" t="inlineStr">
        <is>
          <t>← 明細清單新增當月項目後自動加總</t>
        </is>
      </c>
      <c r="J60" s="274">
        <f>IF(COUNTIFS(K1:K5000,A60)&gt;0,1,0)</f>
        <v/>
      </c>
      <c r="K60" s="89" t="inlineStr">
        <is>
          <t>113年07月</t>
        </is>
      </c>
      <c r="L60" s="90" t="inlineStr">
        <is>
          <t>教育費</t>
        </is>
      </c>
      <c r="M60" s="275" t="n">
        <v>13250</v>
      </c>
      <c r="N60" s="92" t="inlineStr">
        <is>
          <t>113年下學期註冊費(維)</t>
        </is>
      </c>
      <c r="O60" s="274">
        <f>IF(K60="","",COUNTIFS($K$12:K60,K60))</f>
        <v/>
      </c>
      <c r="P60" s="93">
        <f>IF(K60="","",K60&amp;"|"&amp;O60)</f>
        <v/>
      </c>
    </row>
    <row r="61" ht="16.5" customHeight="1" s="134">
      <c r="A61" s="62" t="inlineStr">
        <is>
          <t>117年02月</t>
        </is>
      </c>
      <c r="B61" s="255">
        <f>SUMIFS(M1:M5000,K1:K5000,A61,L1:L5000,"教育費")</f>
        <v/>
      </c>
      <c r="C61" s="255">
        <f>SUMIFS(M1:M5000,K1:K5000,A61,L1:L5000,"保險費")</f>
        <v/>
      </c>
      <c r="D61" s="255">
        <f>SUMIFS(M1:M5000,K1:K5000,A61,L1:L5000,"醫療費")</f>
        <v/>
      </c>
      <c r="E61" s="255">
        <f>B61+C61+D61</f>
        <v/>
      </c>
      <c r="F61" s="255">
        <f>E61/2</f>
        <v/>
      </c>
      <c r="G61" s="255">
        <f>E61/2</f>
        <v/>
      </c>
      <c r="H61" s="95" t="inlineStr">
        <is>
          <t>← 明細清單新增當月項目後自動加總</t>
        </is>
      </c>
      <c r="J61" s="274">
        <f>IF(COUNTIFS(K1:K5000,A61)&gt;0,1,0)</f>
        <v/>
      </c>
      <c r="K61" s="89" t="inlineStr">
        <is>
          <t>113年07月</t>
        </is>
      </c>
      <c r="L61" s="90" t="inlineStr">
        <is>
          <t>保險費</t>
        </is>
      </c>
      <c r="M61" s="275" t="n">
        <v>12848</v>
      </c>
      <c r="N61" s="94" t="inlineStr">
        <is>
          <t>全球人壽(寧)</t>
        </is>
      </c>
      <c r="O61" s="274">
        <f>IF(K61="","",COUNTIFS($K$12:K61,K61))</f>
        <v/>
      </c>
      <c r="P61" s="93">
        <f>IF(K61="","",K61&amp;"|"&amp;O61)</f>
        <v/>
      </c>
    </row>
    <row r="62" ht="16.5" customHeight="1" s="134">
      <c r="A62" s="62" t="inlineStr">
        <is>
          <t>117年03月</t>
        </is>
      </c>
      <c r="B62" s="255">
        <f>SUMIFS(M1:M5000,K1:K5000,A62,L1:L5000,"教育費")</f>
        <v/>
      </c>
      <c r="C62" s="255">
        <f>SUMIFS(M1:M5000,K1:K5000,A62,L1:L5000,"保險費")</f>
        <v/>
      </c>
      <c r="D62" s="255">
        <f>SUMIFS(M1:M5000,K1:K5000,A62,L1:L5000,"醫療費")</f>
        <v/>
      </c>
      <c r="E62" s="255">
        <f>B62+C62+D62</f>
        <v/>
      </c>
      <c r="F62" s="255">
        <f>E62/2</f>
        <v/>
      </c>
      <c r="G62" s="255">
        <f>E62/2</f>
        <v/>
      </c>
      <c r="H62" s="95" t="inlineStr">
        <is>
          <t>← 明細清單新增當月項目後自動加總</t>
        </is>
      </c>
      <c r="J62" s="274">
        <f>IF(COUNTIFS(K1:K5000,A62)&gt;0,1,0)</f>
        <v/>
      </c>
      <c r="K62" s="89" t="inlineStr">
        <is>
          <t>113年07月</t>
        </is>
      </c>
      <c r="L62" s="90" t="inlineStr">
        <is>
          <t>醫療費</t>
        </is>
      </c>
      <c r="M62" s="275" t="n">
        <v>250</v>
      </c>
      <c r="N62" s="92" t="inlineStr">
        <is>
          <t>1130715(寧)</t>
        </is>
      </c>
      <c r="O62" s="274">
        <f>IF(K62="","",COUNTIFS($K$12:K62,K62))</f>
        <v/>
      </c>
      <c r="P62" s="93">
        <f>IF(K62="","",K62&amp;"|"&amp;O62)</f>
        <v/>
      </c>
    </row>
    <row r="63" ht="15" customHeight="1" s="134">
      <c r="A63" s="3" t="inlineStr">
        <is>
          <t>合計</t>
        </is>
      </c>
      <c r="B63" s="172">
        <f>SUM(B12:B62)</f>
        <v/>
      </c>
      <c r="C63" s="172">
        <f>SUM(C12:C62)</f>
        <v/>
      </c>
      <c r="D63" s="172">
        <f>SUM(D12:D62)</f>
        <v/>
      </c>
      <c r="E63" s="172">
        <f>SUM(E12:E62)</f>
        <v/>
      </c>
      <c r="F63" s="172">
        <f>SUM(F12:F62)</f>
        <v/>
      </c>
      <c r="G63" s="172">
        <f>SUM(G12:G62)</f>
        <v/>
      </c>
      <c r="H63" s="155" t="n"/>
      <c r="K63" s="89" t="inlineStr">
        <is>
          <t>113年07月</t>
        </is>
      </c>
      <c r="L63" s="90" t="inlineStr">
        <is>
          <t>醫療費</t>
        </is>
      </c>
      <c r="M63" s="275" t="n">
        <v>250</v>
      </c>
      <c r="N63" s="92" t="inlineStr">
        <is>
          <t>1130716(維)</t>
        </is>
      </c>
      <c r="O63" s="274">
        <f>IF(K63="","",COUNTIFS($K$12:K63,K63))</f>
        <v/>
      </c>
      <c r="P63" s="93">
        <f>IF(K63="","",K63&amp;"|"&amp;O63)</f>
        <v/>
      </c>
    </row>
    <row r="64" ht="15" customHeight="1" s="134">
      <c r="K64" s="89" t="inlineStr">
        <is>
          <t>113年07月</t>
        </is>
      </c>
      <c r="L64" s="90" t="inlineStr">
        <is>
          <t>醫療費</t>
        </is>
      </c>
      <c r="M64" s="275" t="n">
        <v>250</v>
      </c>
      <c r="N64" s="92" t="inlineStr">
        <is>
          <t>1130718(寧)</t>
        </is>
      </c>
      <c r="O64" s="274">
        <f>IF(K64="","",COUNTIFS($K$12:K64,K64))</f>
        <v/>
      </c>
      <c r="P64" s="93">
        <f>IF(K64="","",K64&amp;"|"&amp;O64)</f>
        <v/>
      </c>
    </row>
    <row r="65" ht="21.75" customHeight="1" s="134">
      <c r="A65" s="135" t="inlineStr">
        <is>
          <t>📈 近12個月平均（反映到收支明細的基準）</t>
        </is>
      </c>
      <c r="B65" s="136" t="n"/>
      <c r="C65" s="136" t="n"/>
      <c r="D65" s="136" t="n"/>
      <c r="E65" s="136" t="n"/>
      <c r="F65" s="136" t="n"/>
      <c r="G65" s="136" t="n"/>
      <c r="H65" s="137" t="n"/>
      <c r="K65" s="89" t="inlineStr">
        <is>
          <t>113年07月</t>
        </is>
      </c>
      <c r="L65" s="90" t="inlineStr">
        <is>
          <t>醫療費</t>
        </is>
      </c>
      <c r="M65" s="275" t="n">
        <v>250</v>
      </c>
      <c r="N65" s="92" t="inlineStr">
        <is>
          <t>1130718(維)</t>
        </is>
      </c>
      <c r="O65" s="274">
        <f>IF(K65="","",COUNTIFS($K$12:K65,K65))</f>
        <v/>
      </c>
      <c r="P65" s="93">
        <f>IF(K65="","",K65&amp;"|"&amp;O65)</f>
        <v/>
      </c>
    </row>
    <row r="66" ht="16.5" customHeight="1" s="134">
      <c r="A66" s="168" t="inlineStr">
        <is>
          <t>近12個月平均本人負擔</t>
        </is>
      </c>
      <c r="B66" s="141" t="n"/>
      <c r="C66" s="142" t="n"/>
      <c r="F66" s="172">
        <f>IFERROR(AVERAGE(OFFSET(G12,MAX(0,SUM(J12:J62)-12),0,MIN(12,SUM(J12:J62)),1)),"")</f>
        <v/>
      </c>
      <c r="G66" s="208" t="inlineStr">
        <is>
          <t>自動抓取最後12個「明細清單裡有資料」的月份</t>
        </is>
      </c>
      <c r="H66" s="142" t="n"/>
      <c r="K66" s="89" t="inlineStr">
        <is>
          <t>113年07月</t>
        </is>
      </c>
      <c r="L66" s="90" t="inlineStr">
        <is>
          <t>醫療費</t>
        </is>
      </c>
      <c r="M66" s="275" t="n">
        <v>650</v>
      </c>
      <c r="N66" s="92" t="inlineStr">
        <is>
          <t>1130718(寧)</t>
        </is>
      </c>
      <c r="O66" s="274">
        <f>IF(K66="","",COUNTIFS($K$12:K66,K66))</f>
        <v/>
      </c>
      <c r="P66" s="93">
        <f>IF(K66="","",K66&amp;"|"&amp;O66)</f>
        <v/>
      </c>
    </row>
    <row r="67" ht="15" customHeight="1" s="134">
      <c r="K67" s="89" t="inlineStr">
        <is>
          <t>113年07月</t>
        </is>
      </c>
      <c r="L67" s="90" t="inlineStr">
        <is>
          <t>醫療費</t>
        </is>
      </c>
      <c r="M67" s="275" t="n">
        <v>510</v>
      </c>
      <c r="N67" s="92" t="inlineStr">
        <is>
          <t>1130719(寧)</t>
        </is>
      </c>
      <c r="O67" s="274">
        <f>IF(K67="","",COUNTIFS($K$12:K67,K67))</f>
        <v/>
      </c>
      <c r="P67" s="93">
        <f>IF(K67="","",K67&amp;"|"&amp;O67)</f>
        <v/>
      </c>
    </row>
    <row r="68" ht="21.75" customHeight="1" s="134">
      <c r="A68" s="135" t="inlineStr">
        <is>
          <t>💡 使用說明</t>
        </is>
      </c>
      <c r="B68" s="136" t="n"/>
      <c r="C68" s="136" t="n"/>
      <c r="D68" s="136" t="n"/>
      <c r="E68" s="136" t="n"/>
      <c r="F68" s="136" t="n"/>
      <c r="G68" s="136" t="n"/>
      <c r="H68" s="137" t="n"/>
      <c r="K68" s="89" t="inlineStr">
        <is>
          <t>113年08月</t>
        </is>
      </c>
      <c r="L68" s="90" t="inlineStr">
        <is>
          <t>教育費</t>
        </is>
      </c>
      <c r="M68" s="275" t="n">
        <v>2000</v>
      </c>
      <c r="N68" s="92" t="inlineStr">
        <is>
          <t>11308準公共(維)</t>
        </is>
      </c>
      <c r="O68" s="274">
        <f>IF(K68="","",COUNTIFS($K$12:K68,K68))</f>
        <v/>
      </c>
      <c r="P68" s="93">
        <f>IF(K68="","",K68&amp;"|"&amp;O68)</f>
        <v/>
      </c>
    </row>
    <row r="69" ht="27.75" customHeight="1" s="134">
      <c r="B69" s="138" t="inlineStr">
        <is>
          <t>「月彙總」（左側）完全是公式自動計算的結果，不需要（也不建議）手動修改，資料來源都是右側的「明細清單」。</t>
        </is>
      </c>
      <c r="K69" s="89" t="inlineStr">
        <is>
          <t>113年08月</t>
        </is>
      </c>
      <c r="L69" s="90" t="inlineStr">
        <is>
          <t>醫療費</t>
        </is>
      </c>
      <c r="M69" s="275" t="n">
        <v>250</v>
      </c>
      <c r="N69" s="92" t="inlineStr">
        <is>
          <t>1130805(維)</t>
        </is>
      </c>
      <c r="O69" s="274">
        <f>IF(K69="","",COUNTIFS($K$12:K69,K69))</f>
        <v/>
      </c>
      <c r="P69" s="93">
        <f>IF(K69="","",K69&amp;"|"&amp;O69)</f>
        <v/>
      </c>
    </row>
    <row r="70" ht="27.75" customHeight="1" s="134">
      <c r="B70" s="138" t="inlineStr">
        <is>
          <t>「明細清單」（右側）年月與類別都有下拉選單，選好之後填金額、寫備註即可，不用擔心打錯字對不到彙總。</t>
        </is>
      </c>
      <c r="K70" s="89" t="inlineStr">
        <is>
          <t>113年08月</t>
        </is>
      </c>
      <c r="L70" s="90" t="inlineStr">
        <is>
          <t>教育費</t>
        </is>
      </c>
      <c r="M70" s="275" t="n">
        <v>200</v>
      </c>
      <c r="N70" s="94" t="inlineStr">
        <is>
          <t>保險費(維)</t>
        </is>
      </c>
      <c r="O70" s="274">
        <f>IF(K70="","",COUNTIFS($K$12:K70,K70))</f>
        <v/>
      </c>
      <c r="P70" s="93">
        <f>IF(K70="","",K70&amp;"|"&amp;O70)</f>
        <v/>
      </c>
    </row>
    <row r="71" ht="27.75" customHeight="1" s="134">
      <c r="B71" s="138" t="inlineStr">
        <is>
          <t>若保費欄位有金額，代表當月繳了潘寧或潘維的醫療險保費，實際由每月現金流支付，已併入「本人負擔」計算，不會漏算或重複計算。</t>
        </is>
      </c>
      <c r="K71" s="89" t="inlineStr">
        <is>
          <t>113年08月</t>
        </is>
      </c>
      <c r="L71" s="90" t="inlineStr">
        <is>
          <t>醫療費</t>
        </is>
      </c>
      <c r="M71" s="275" t="n">
        <v>250</v>
      </c>
      <c r="N71" s="92" t="inlineStr">
        <is>
          <t>1130806(寧)</t>
        </is>
      </c>
      <c r="O71" s="274">
        <f>IF(K71="","",COUNTIFS($K$12:K71,K71))</f>
        <v/>
      </c>
      <c r="P71" s="93">
        <f>IF(K71="","",K71&amp;"|"&amp;O71)</f>
        <v/>
      </c>
    </row>
    <row r="72" ht="27.75" customHeight="1" s="134">
      <c r="B72" s="138" t="inlineStr">
        <is>
          <t>「近12個月平均本人負擔」（教育費＋醫療費＋保險費）會自動反映到「收支明細」的月支出項目，隨著明細清單逐筆更新，這個平均值也會跟著微調。</t>
        </is>
      </c>
      <c r="K72" s="89" t="inlineStr">
        <is>
          <t>113年08月</t>
        </is>
      </c>
      <c r="L72" s="90" t="inlineStr">
        <is>
          <t>教育費</t>
        </is>
      </c>
      <c r="M72" s="275" t="n">
        <v>6700</v>
      </c>
      <c r="N72" s="92" t="inlineStr">
        <is>
          <t>11309全科輔導班(寧)</t>
        </is>
      </c>
      <c r="O72" s="274">
        <f>IF(K72="","",COUNTIFS($K$12:K72,K72))</f>
        <v/>
      </c>
      <c r="P72" s="93">
        <f>IF(K72="","",K72&amp;"|"&amp;O72)</f>
        <v/>
      </c>
    </row>
    <row r="73" ht="15" customHeight="1" s="134">
      <c r="K73" s="89" t="inlineStr">
        <is>
          <t>113年08月</t>
        </is>
      </c>
      <c r="L73" s="90" t="inlineStr">
        <is>
          <t>醫療費</t>
        </is>
      </c>
      <c r="M73" s="275" t="n">
        <v>200</v>
      </c>
      <c r="N73" s="92" t="inlineStr">
        <is>
          <t>1130819(寧)</t>
        </is>
      </c>
      <c r="O73" s="274">
        <f>IF(K73="","",COUNTIFS($K$12:K73,K73))</f>
        <v/>
      </c>
      <c r="P73" s="93">
        <f>IF(K73="","",K73&amp;"|"&amp;O73)</f>
        <v/>
      </c>
    </row>
    <row r="74" ht="15" customHeight="1" s="134">
      <c r="K74" s="89" t="inlineStr">
        <is>
          <t>113年08月</t>
        </is>
      </c>
      <c r="L74" s="90" t="inlineStr">
        <is>
          <t>教育費</t>
        </is>
      </c>
      <c r="M74" s="275" t="n">
        <v>2950</v>
      </c>
      <c r="N74" s="92" t="inlineStr">
        <is>
          <t>11309英文班(寧)</t>
        </is>
      </c>
      <c r="O74" s="274">
        <f>IF(K74="","",COUNTIFS($K$12:K74,K74))</f>
        <v/>
      </c>
      <c r="P74" s="93">
        <f>IF(K74="","",K74&amp;"|"&amp;O74)</f>
        <v/>
      </c>
    </row>
    <row r="75" ht="15" customHeight="1" s="134">
      <c r="K75" s="89" t="inlineStr">
        <is>
          <t>113年08月</t>
        </is>
      </c>
      <c r="L75" s="90" t="inlineStr">
        <is>
          <t>醫療費</t>
        </is>
      </c>
      <c r="M75" s="275" t="n">
        <v>250</v>
      </c>
      <c r="N75" s="92" t="inlineStr">
        <is>
          <t>1130826(寧)</t>
        </is>
      </c>
      <c r="O75" s="274">
        <f>IF(K75="","",COUNTIFS($K$12:K75,K75))</f>
        <v/>
      </c>
      <c r="P75" s="93">
        <f>IF(K75="","",K75&amp;"|"&amp;O75)</f>
        <v/>
      </c>
    </row>
    <row r="76" ht="15" customHeight="1" s="134">
      <c r="K76" s="89" t="inlineStr">
        <is>
          <t>113年09月</t>
        </is>
      </c>
      <c r="L76" s="90" t="inlineStr">
        <is>
          <t>教育費</t>
        </is>
      </c>
      <c r="M76" s="275" t="n">
        <v>2000</v>
      </c>
      <c r="N76" s="92" t="inlineStr">
        <is>
          <t>11309準公共(維)</t>
        </is>
      </c>
      <c r="O76" s="274">
        <f>IF(K76="","",COUNTIFS($K$12:K76,K76))</f>
        <v/>
      </c>
      <c r="P76" s="93">
        <f>IF(K76="","",K76&amp;"|"&amp;O76)</f>
        <v/>
      </c>
    </row>
    <row r="77" ht="15" customHeight="1" s="134">
      <c r="K77" s="89" t="inlineStr">
        <is>
          <t>113年09月</t>
        </is>
      </c>
      <c r="L77" s="90" t="inlineStr">
        <is>
          <t>教育費</t>
        </is>
      </c>
      <c r="M77" s="275" t="n">
        <v>8950</v>
      </c>
      <c r="N77" s="92" t="inlineStr">
        <is>
          <t>11310安親班(寧)</t>
        </is>
      </c>
      <c r="O77" s="274">
        <f>IF(K77="","",COUNTIFS($K$12:K77,K77))</f>
        <v/>
      </c>
      <c r="P77" s="93">
        <f>IF(K77="","",K77&amp;"|"&amp;O77)</f>
        <v/>
      </c>
    </row>
    <row r="78" ht="15" customHeight="1" s="134">
      <c r="K78" s="89" t="inlineStr">
        <is>
          <t>113年09月</t>
        </is>
      </c>
      <c r="L78" s="90" t="inlineStr">
        <is>
          <t>教育費</t>
        </is>
      </c>
      <c r="M78" s="275" t="n">
        <v>1387</v>
      </c>
      <c r="N78" s="92" t="inlineStr">
        <is>
          <t>113北屯國小合作社(寧)</t>
        </is>
      </c>
      <c r="O78" s="274">
        <f>IF(K78="","",COUNTIFS($K$12:K78,K78))</f>
        <v/>
      </c>
      <c r="P78" s="93">
        <f>IF(K78="","",K78&amp;"|"&amp;O78)</f>
        <v/>
      </c>
    </row>
    <row r="79" ht="15" customHeight="1" s="134">
      <c r="K79" s="89" t="inlineStr">
        <is>
          <t>113年09月</t>
        </is>
      </c>
      <c r="L79" s="90" t="inlineStr">
        <is>
          <t>教育費</t>
        </is>
      </c>
      <c r="M79" s="275" t="n">
        <v>6279</v>
      </c>
      <c r="N79" s="92" t="inlineStr">
        <is>
          <t>113北屯國小雜費(寧)</t>
        </is>
      </c>
      <c r="O79" s="274">
        <f>IF(K79="","",COUNTIFS($K$12:K79,K79))</f>
        <v/>
      </c>
      <c r="P79" s="93">
        <f>IF(K79="","",K79&amp;"|"&amp;O79)</f>
        <v/>
      </c>
    </row>
    <row r="80" ht="15" customHeight="1" s="134">
      <c r="K80" s="89" t="inlineStr">
        <is>
          <t>113年10月</t>
        </is>
      </c>
      <c r="L80" s="90" t="inlineStr">
        <is>
          <t>教育費</t>
        </is>
      </c>
      <c r="M80" s="275" t="n">
        <v>2000</v>
      </c>
      <c r="N80" s="92" t="inlineStr">
        <is>
          <t>11310準公共(維)</t>
        </is>
      </c>
      <c r="O80" s="274">
        <f>IF(K80="","",COUNTIFS($K$12:K80,K80))</f>
        <v/>
      </c>
      <c r="P80" s="93">
        <f>IF(K80="","",K80&amp;"|"&amp;O80)</f>
        <v/>
      </c>
    </row>
    <row r="81" ht="15" customHeight="1" s="134">
      <c r="K81" s="89" t="inlineStr">
        <is>
          <t>113年10月</t>
        </is>
      </c>
      <c r="L81" s="90" t="inlineStr">
        <is>
          <t>醫療費</t>
        </is>
      </c>
      <c r="M81" s="275" t="n">
        <v>250</v>
      </c>
      <c r="N81" s="92" t="inlineStr">
        <is>
          <t>1131001(維)</t>
        </is>
      </c>
      <c r="O81" s="274">
        <f>IF(K81="","",COUNTIFS($K$12:K81,K81))</f>
        <v/>
      </c>
      <c r="P81" s="93">
        <f>IF(K81="","",K81&amp;"|"&amp;O81)</f>
        <v/>
      </c>
    </row>
    <row r="82" ht="15" customHeight="1" s="134">
      <c r="K82" s="89" t="inlineStr">
        <is>
          <t>113年10月</t>
        </is>
      </c>
      <c r="L82" s="90" t="inlineStr">
        <is>
          <t>教育費</t>
        </is>
      </c>
      <c r="M82" s="275" t="n">
        <v>8600</v>
      </c>
      <c r="N82" s="92" t="inlineStr">
        <is>
          <t>11311安親班(寧)</t>
        </is>
      </c>
      <c r="O82" s="274">
        <f>IF(K82="","",COUNTIFS($K$12:K82,K82))</f>
        <v/>
      </c>
      <c r="P82" s="93">
        <f>IF(K82="","",K82&amp;"|"&amp;O82)</f>
        <v/>
      </c>
    </row>
    <row r="83" ht="15" customHeight="1" s="134">
      <c r="K83" s="89" t="inlineStr">
        <is>
          <t>113年10月</t>
        </is>
      </c>
      <c r="L83" s="90" t="inlineStr">
        <is>
          <t>醫療費</t>
        </is>
      </c>
      <c r="M83" s="275" t="n">
        <v>250</v>
      </c>
      <c r="N83" s="92" t="inlineStr">
        <is>
          <t>1131007(維)</t>
        </is>
      </c>
      <c r="O83" s="274">
        <f>IF(K83="","",COUNTIFS($K$12:K83,K83))</f>
        <v/>
      </c>
      <c r="P83" s="93">
        <f>IF(K83="","",K83&amp;"|"&amp;O83)</f>
        <v/>
      </c>
    </row>
    <row r="84" ht="15" customHeight="1" s="134">
      <c r="K84" s="89" t="inlineStr">
        <is>
          <t>113年10月</t>
        </is>
      </c>
      <c r="L84" s="90" t="inlineStr">
        <is>
          <t>教育費</t>
        </is>
      </c>
      <c r="M84" s="275" t="n">
        <v>840</v>
      </c>
      <c r="N84" s="92" t="inlineStr">
        <is>
          <t>11310羊乳(寧)</t>
        </is>
      </c>
      <c r="O84" s="274">
        <f>IF(K84="","",COUNTIFS($K$12:K84,K84))</f>
        <v/>
      </c>
      <c r="P84" s="93">
        <f>IF(K84="","",K84&amp;"|"&amp;O84)</f>
        <v/>
      </c>
    </row>
    <row r="85" ht="15" customHeight="1" s="134">
      <c r="K85" s="89" t="inlineStr">
        <is>
          <t>113年10月</t>
        </is>
      </c>
      <c r="L85" s="90" t="inlineStr">
        <is>
          <t>醫療費</t>
        </is>
      </c>
      <c r="M85" s="275" t="n">
        <v>200</v>
      </c>
      <c r="N85" s="92" t="inlineStr">
        <is>
          <t>1131007(維)</t>
        </is>
      </c>
      <c r="O85" s="274">
        <f>IF(K85="","",COUNTIFS($K$12:K85,K85))</f>
        <v/>
      </c>
      <c r="P85" s="93">
        <f>IF(K85="","",K85&amp;"|"&amp;O85)</f>
        <v/>
      </c>
    </row>
    <row r="86" ht="15" customHeight="1" s="134">
      <c r="K86" s="89" t="inlineStr">
        <is>
          <t>113年10月</t>
        </is>
      </c>
      <c r="L86" s="90" t="inlineStr">
        <is>
          <t>醫療費</t>
        </is>
      </c>
      <c r="M86" s="275" t="n">
        <v>250</v>
      </c>
      <c r="N86" s="92" t="inlineStr">
        <is>
          <t>1131008(寧)</t>
        </is>
      </c>
      <c r="O86" s="274">
        <f>IF(K86="","",COUNTIFS($K$12:K86,K86))</f>
        <v/>
      </c>
      <c r="P86" s="93">
        <f>IF(K86="","",K86&amp;"|"&amp;O86)</f>
        <v/>
      </c>
    </row>
    <row r="87" ht="15" customHeight="1" s="134">
      <c r="K87" s="89" t="inlineStr">
        <is>
          <t>113年11月</t>
        </is>
      </c>
      <c r="L87" s="90" t="inlineStr">
        <is>
          <t>教育費</t>
        </is>
      </c>
      <c r="M87" s="275" t="n">
        <v>2000</v>
      </c>
      <c r="N87" s="92" t="inlineStr">
        <is>
          <t>11311準公共(維)</t>
        </is>
      </c>
      <c r="O87" s="274">
        <f>IF(K87="","",COUNTIFS($K$12:K87,K87))</f>
        <v/>
      </c>
      <c r="P87" s="93">
        <f>IF(K87="","",K87&amp;"|"&amp;O87)</f>
        <v/>
      </c>
    </row>
    <row r="88" ht="15" customHeight="1" s="134">
      <c r="K88" s="89" t="inlineStr">
        <is>
          <t>113年11月</t>
        </is>
      </c>
      <c r="L88" s="90" t="inlineStr">
        <is>
          <t>醫療費</t>
        </is>
      </c>
      <c r="M88" s="275" t="n">
        <v>250</v>
      </c>
      <c r="N88" s="92" t="inlineStr">
        <is>
          <t>1131115(寧)</t>
        </is>
      </c>
      <c r="O88" s="274">
        <f>IF(K88="","",COUNTIFS($K$12:K88,K88))</f>
        <v/>
      </c>
      <c r="P88" s="93">
        <f>IF(K88="","",K88&amp;"|"&amp;O88)</f>
        <v/>
      </c>
    </row>
    <row r="89" ht="15" customHeight="1" s="134">
      <c r="K89" s="89" t="inlineStr">
        <is>
          <t>113年11月</t>
        </is>
      </c>
      <c r="L89" s="90" t="inlineStr">
        <is>
          <t>教育費</t>
        </is>
      </c>
      <c r="M89" s="275" t="n">
        <v>900</v>
      </c>
      <c r="N89" s="92" t="inlineStr">
        <is>
          <t>113冬季運動服(維)</t>
        </is>
      </c>
      <c r="O89" s="274">
        <f>IF(K89="","",COUNTIFS($K$12:K89,K89))</f>
        <v/>
      </c>
      <c r="P89" s="93">
        <f>IF(K89="","",K89&amp;"|"&amp;O89)</f>
        <v/>
      </c>
    </row>
    <row r="90" ht="15" customHeight="1" s="134">
      <c r="K90" s="89" t="inlineStr">
        <is>
          <t>113年11月</t>
        </is>
      </c>
      <c r="L90" s="90" t="inlineStr">
        <is>
          <t>醫療費</t>
        </is>
      </c>
      <c r="M90" s="275" t="n">
        <v>250</v>
      </c>
      <c r="N90" s="92" t="inlineStr">
        <is>
          <t>1131128(維)</t>
        </is>
      </c>
      <c r="O90" s="274">
        <f>IF(K90="","",COUNTIFS($K$12:K90,K90))</f>
        <v/>
      </c>
      <c r="P90" s="93">
        <f>IF(K90="","",K90&amp;"|"&amp;O90)</f>
        <v/>
      </c>
    </row>
    <row r="91" ht="15" customHeight="1" s="134">
      <c r="K91" s="89" t="inlineStr">
        <is>
          <t>113年11月</t>
        </is>
      </c>
      <c r="L91" s="90" t="inlineStr">
        <is>
          <t>教育費</t>
        </is>
      </c>
      <c r="M91" s="275" t="n">
        <v>10450</v>
      </c>
      <c r="N91" s="92" t="inlineStr">
        <is>
          <t>11312安親班(寧)</t>
        </is>
      </c>
      <c r="O91" s="274">
        <f>IF(K91="","",COUNTIFS($K$12:K91,K91))</f>
        <v/>
      </c>
      <c r="P91" s="93">
        <f>IF(K91="","",K91&amp;"|"&amp;O91)</f>
        <v/>
      </c>
    </row>
    <row r="92" ht="15" customHeight="1" s="134">
      <c r="K92" s="89" t="inlineStr">
        <is>
          <t>113年11月</t>
        </is>
      </c>
      <c r="L92" s="90" t="inlineStr">
        <is>
          <t>教育費</t>
        </is>
      </c>
      <c r="M92" s="275" t="n">
        <v>812</v>
      </c>
      <c r="N92" s="92" t="inlineStr">
        <is>
          <t>11312羊奶(寧)</t>
        </is>
      </c>
      <c r="O92" s="274">
        <f>IF(K92="","",COUNTIFS($K$12:K92,K92))</f>
        <v/>
      </c>
      <c r="P92" s="93">
        <f>IF(K92="","",K92&amp;"|"&amp;O92)</f>
        <v/>
      </c>
    </row>
    <row r="93" ht="15" customHeight="1" s="134">
      <c r="K93" s="89" t="inlineStr">
        <is>
          <t>113年12月</t>
        </is>
      </c>
      <c r="L93" s="90" t="inlineStr">
        <is>
          <t>教育費</t>
        </is>
      </c>
      <c r="M93" s="275" t="n">
        <v>2000</v>
      </c>
      <c r="N93" s="92" t="inlineStr">
        <is>
          <t>11312準公共(維)</t>
        </is>
      </c>
      <c r="O93" s="274">
        <f>IF(K93="","",COUNTIFS($K$12:K93,K93))</f>
        <v/>
      </c>
      <c r="P93" s="93">
        <f>IF(K93="","",K93&amp;"|"&amp;O93)</f>
        <v/>
      </c>
    </row>
    <row r="94" ht="15" customHeight="1" s="134">
      <c r="K94" s="89" t="inlineStr">
        <is>
          <t>113年12月</t>
        </is>
      </c>
      <c r="L94" s="90" t="inlineStr">
        <is>
          <t>醫療費</t>
        </is>
      </c>
      <c r="M94" s="275" t="n">
        <v>250</v>
      </c>
      <c r="N94" s="92" t="inlineStr">
        <is>
          <t>1131210(寧)</t>
        </is>
      </c>
      <c r="O94" s="274">
        <f>IF(K94="","",COUNTIFS($K$12:K94,K94))</f>
        <v/>
      </c>
      <c r="P94" s="93">
        <f>IF(K94="","",K94&amp;"|"&amp;O94)</f>
        <v/>
      </c>
    </row>
    <row r="95" ht="15" customHeight="1" s="134">
      <c r="K95" s="89" t="inlineStr">
        <is>
          <t>113年12月</t>
        </is>
      </c>
      <c r="L95" s="90" t="inlineStr">
        <is>
          <t>教育費</t>
        </is>
      </c>
      <c r="M95" s="275" t="n">
        <v>13930</v>
      </c>
      <c r="N95" s="92" t="inlineStr">
        <is>
          <t>11401安親班(寧)</t>
        </is>
      </c>
      <c r="O95" s="274">
        <f>IF(K95="","",COUNTIFS($K$12:K95,K95))</f>
        <v/>
      </c>
      <c r="P95" s="93">
        <f>IF(K95="","",K95&amp;"|"&amp;O95)</f>
        <v/>
      </c>
    </row>
    <row r="96" ht="15" customHeight="1" s="134">
      <c r="K96" s="89" t="inlineStr">
        <is>
          <t>113年12月</t>
        </is>
      </c>
      <c r="L96" s="90" t="inlineStr">
        <is>
          <t>醫療費</t>
        </is>
      </c>
      <c r="M96" s="275" t="n">
        <v>250</v>
      </c>
      <c r="N96" s="92" t="inlineStr">
        <is>
          <t>1131225(維)</t>
        </is>
      </c>
      <c r="O96" s="274">
        <f>IF(K96="","",COUNTIFS($K$12:K96,K96))</f>
        <v/>
      </c>
      <c r="P96" s="93">
        <f>IF(K96="","",K96&amp;"|"&amp;O96)</f>
        <v/>
      </c>
    </row>
    <row r="97" ht="15" customHeight="1" s="134">
      <c r="K97" s="89" t="inlineStr">
        <is>
          <t>113年12月</t>
        </is>
      </c>
      <c r="L97" s="90" t="inlineStr">
        <is>
          <t>教育費</t>
        </is>
      </c>
      <c r="M97" s="275" t="n">
        <v>16500</v>
      </c>
      <c r="N97" s="92" t="inlineStr">
        <is>
          <t>114年上學期註冊費(維)</t>
        </is>
      </c>
      <c r="O97" s="274">
        <f>IF(K97="","",COUNTIFS($K$12:K97,K97))</f>
        <v/>
      </c>
      <c r="P97" s="93">
        <f>IF(K97="","",K97&amp;"|"&amp;O97)</f>
        <v/>
      </c>
    </row>
    <row r="98" ht="15" customHeight="1" s="134">
      <c r="K98" s="89" t="inlineStr">
        <is>
          <t>113年12月</t>
        </is>
      </c>
      <c r="L98" s="90" t="inlineStr">
        <is>
          <t>醫療費</t>
        </is>
      </c>
      <c r="M98" s="275" t="n">
        <v>250</v>
      </c>
      <c r="N98" s="92" t="inlineStr">
        <is>
          <t>1131226(寧)</t>
        </is>
      </c>
      <c r="O98" s="274">
        <f>IF(K98="","",COUNTIFS($K$12:K98,K98))</f>
        <v/>
      </c>
      <c r="P98" s="93">
        <f>IF(K98="","",K98&amp;"|"&amp;O98)</f>
        <v/>
      </c>
    </row>
    <row r="99" ht="15" customHeight="1" s="134">
      <c r="K99" s="89" t="inlineStr">
        <is>
          <t>114年01月</t>
        </is>
      </c>
      <c r="L99" s="90" t="inlineStr">
        <is>
          <t>教育費</t>
        </is>
      </c>
      <c r="M99" s="275" t="n">
        <v>1636</v>
      </c>
      <c r="N99" s="92" t="inlineStr">
        <is>
          <t>11401準公共(維)</t>
        </is>
      </c>
      <c r="O99" s="274">
        <f>IF(K99="","",COUNTIFS($K$12:K99,K99))</f>
        <v/>
      </c>
      <c r="P99" s="93">
        <f>IF(K99="","",K99&amp;"|"&amp;O99)</f>
        <v/>
      </c>
    </row>
    <row r="100" ht="15" customHeight="1" s="134">
      <c r="K100" s="89" t="inlineStr">
        <is>
          <t>114年01月</t>
        </is>
      </c>
      <c r="L100" s="90" t="inlineStr">
        <is>
          <t>醫療費</t>
        </is>
      </c>
      <c r="M100" s="275" t="n">
        <v>550</v>
      </c>
      <c r="N100" s="92" t="inlineStr">
        <is>
          <t>1140123(寧)</t>
        </is>
      </c>
      <c r="O100" s="274">
        <f>IF(K100="","",COUNTIFS($K$12:K100,K100))</f>
        <v/>
      </c>
      <c r="P100" s="93">
        <f>IF(K100="","",K100&amp;"|"&amp;O100)</f>
        <v/>
      </c>
    </row>
    <row r="101" ht="15" customHeight="1" s="134">
      <c r="K101" s="89" t="inlineStr">
        <is>
          <t>114年02月</t>
        </is>
      </c>
      <c r="L101" s="90" t="inlineStr">
        <is>
          <t>教育費</t>
        </is>
      </c>
      <c r="M101" s="275" t="n">
        <v>2200</v>
      </c>
      <c r="N101" s="92" t="inlineStr">
        <is>
          <t>11402準公共(維)</t>
        </is>
      </c>
      <c r="O101" s="274">
        <f>IF(K101="","",COUNTIFS($K$12:K101,K101))</f>
        <v/>
      </c>
      <c r="P101" s="93">
        <f>IF(K101="","",K101&amp;"|"&amp;O101)</f>
        <v/>
      </c>
    </row>
    <row r="102" ht="15" customHeight="1" s="134">
      <c r="K102" s="89" t="inlineStr">
        <is>
          <t>114年02月</t>
        </is>
      </c>
      <c r="L102" s="90" t="inlineStr">
        <is>
          <t>醫療費</t>
        </is>
      </c>
      <c r="M102" s="275" t="n">
        <v>250</v>
      </c>
      <c r="N102" s="92" t="inlineStr">
        <is>
          <t>1140203(寧)</t>
        </is>
      </c>
      <c r="O102" s="274">
        <f>IF(K102="","",COUNTIFS($K$12:K102,K102))</f>
        <v/>
      </c>
      <c r="P102" s="93">
        <f>IF(K102="","",K102&amp;"|"&amp;O102)</f>
        <v/>
      </c>
    </row>
    <row r="103" ht="15" customHeight="1" s="134">
      <c r="K103" s="89" t="inlineStr">
        <is>
          <t>114年02月</t>
        </is>
      </c>
      <c r="L103" s="90" t="inlineStr">
        <is>
          <t>教育費</t>
        </is>
      </c>
      <c r="M103" s="275" t="n">
        <v>8100</v>
      </c>
      <c r="N103" s="92" t="inlineStr">
        <is>
          <t>11402安親班(寧)</t>
        </is>
      </c>
      <c r="O103" s="274">
        <f>IF(K103="","",COUNTIFS($K$12:K103,K103))</f>
        <v/>
      </c>
      <c r="P103" s="93">
        <f>IF(K103="","",K103&amp;"|"&amp;O103)</f>
        <v/>
      </c>
    </row>
    <row r="104" ht="15" customHeight="1" s="134">
      <c r="K104" s="89" t="inlineStr">
        <is>
          <t>114年02月</t>
        </is>
      </c>
      <c r="L104" s="90" t="inlineStr">
        <is>
          <t>醫療費</t>
        </is>
      </c>
      <c r="M104" s="275" t="n">
        <v>250</v>
      </c>
      <c r="N104" s="92" t="inlineStr">
        <is>
          <t>1140203(維)</t>
        </is>
      </c>
      <c r="O104" s="274">
        <f>IF(K104="","",COUNTIFS($K$12:K104,K104))</f>
        <v/>
      </c>
      <c r="P104" s="93">
        <f>IF(K104="","",K104&amp;"|"&amp;O104)</f>
        <v/>
      </c>
    </row>
    <row r="105" ht="15" customHeight="1" s="134">
      <c r="K105" s="89" t="inlineStr">
        <is>
          <t>114年02月</t>
        </is>
      </c>
      <c r="L105" s="90" t="inlineStr">
        <is>
          <t>教育費</t>
        </is>
      </c>
      <c r="M105" s="275" t="n">
        <v>5949</v>
      </c>
      <c r="N105" s="92" t="inlineStr">
        <is>
          <t>113(2)學雜費(寧)</t>
        </is>
      </c>
      <c r="O105" s="274">
        <f>IF(K105="","",COUNTIFS($K$12:K105,K105))</f>
        <v/>
      </c>
      <c r="P105" s="93">
        <f>IF(K105="","",K105&amp;"|"&amp;O105)</f>
        <v/>
      </c>
    </row>
    <row r="106" ht="15" customHeight="1" s="134">
      <c r="K106" s="89" t="inlineStr">
        <is>
          <t>114年02月</t>
        </is>
      </c>
      <c r="L106" s="90" t="inlineStr">
        <is>
          <t>醫療費</t>
        </is>
      </c>
      <c r="M106" s="275" t="n">
        <v>250</v>
      </c>
      <c r="N106" s="92" t="inlineStr">
        <is>
          <t>1140206(寧)</t>
        </is>
      </c>
      <c r="O106" s="274">
        <f>IF(K106="","",COUNTIFS($K$12:K106,K106))</f>
        <v/>
      </c>
      <c r="P106" s="93">
        <f>IF(K106="","",K106&amp;"|"&amp;O106)</f>
        <v/>
      </c>
    </row>
    <row r="107" ht="15" customHeight="1" s="134">
      <c r="K107" s="89" t="inlineStr">
        <is>
          <t>114年02月</t>
        </is>
      </c>
      <c r="L107" s="90" t="inlineStr">
        <is>
          <t>教育費</t>
        </is>
      </c>
      <c r="M107" s="275" t="n">
        <v>840</v>
      </c>
      <c r="N107" s="92" t="inlineStr">
        <is>
          <t>11402羊奶費(寧)</t>
        </is>
      </c>
      <c r="O107" s="274">
        <f>IF(K107="","",COUNTIFS($K$12:K107,K107))</f>
        <v/>
      </c>
      <c r="P107" s="93">
        <f>IF(K107="","",K107&amp;"|"&amp;O107)</f>
        <v/>
      </c>
    </row>
    <row r="108" ht="15" customHeight="1" s="134">
      <c r="K108" s="89" t="inlineStr">
        <is>
          <t>114年02月</t>
        </is>
      </c>
      <c r="L108" s="90" t="inlineStr">
        <is>
          <t>醫療費</t>
        </is>
      </c>
      <c r="M108" s="275" t="n">
        <v>250</v>
      </c>
      <c r="N108" s="92" t="inlineStr">
        <is>
          <t>1140218(維)</t>
        </is>
      </c>
      <c r="O108" s="274">
        <f>IF(K108="","",COUNTIFS($K$12:K108,K108))</f>
        <v/>
      </c>
      <c r="P108" s="93">
        <f>IF(K108="","",K108&amp;"|"&amp;O108)</f>
        <v/>
      </c>
    </row>
    <row r="109" ht="15" customHeight="1" s="134">
      <c r="K109" s="89" t="inlineStr">
        <is>
          <t>114年02月</t>
        </is>
      </c>
      <c r="L109" s="90" t="inlineStr">
        <is>
          <t>教育費</t>
        </is>
      </c>
      <c r="M109" s="275" t="n">
        <v>150</v>
      </c>
      <c r="N109" s="92" t="inlineStr">
        <is>
          <t>113(2)學習扶助班(寧)</t>
        </is>
      </c>
      <c r="O109" s="274">
        <f>IF(K109="","",COUNTIFS($K$12:K109,K109))</f>
        <v/>
      </c>
      <c r="P109" s="93">
        <f>IF(K109="","",K109&amp;"|"&amp;O109)</f>
        <v/>
      </c>
    </row>
    <row r="110" ht="15" customHeight="1" s="134">
      <c r="K110" s="89" t="inlineStr">
        <is>
          <t>114年02月</t>
        </is>
      </c>
      <c r="L110" s="90" t="inlineStr">
        <is>
          <t>醫療費</t>
        </is>
      </c>
      <c r="M110" s="275" t="n">
        <v>250</v>
      </c>
      <c r="N110" s="92" t="inlineStr">
        <is>
          <t>1140221(維)</t>
        </is>
      </c>
      <c r="O110" s="274">
        <f>IF(K110="","",COUNTIFS($K$12:K110,K110))</f>
        <v/>
      </c>
      <c r="P110" s="93">
        <f>IF(K110="","",K110&amp;"|"&amp;O110)</f>
        <v/>
      </c>
    </row>
    <row r="111" ht="15" customHeight="1" s="134">
      <c r="K111" s="89" t="inlineStr">
        <is>
          <t>114年02月</t>
        </is>
      </c>
      <c r="L111" s="90" t="inlineStr">
        <is>
          <t>教育費</t>
        </is>
      </c>
      <c r="M111" s="275" t="n">
        <v>415</v>
      </c>
      <c r="N111" s="92" t="inlineStr">
        <is>
          <t>113(2)合作社費(寧)</t>
        </is>
      </c>
      <c r="O111" s="274">
        <f>IF(K111="","",COUNTIFS($K$12:K111,K111))</f>
        <v/>
      </c>
      <c r="P111" s="93">
        <f>IF(K111="","",K111&amp;"|"&amp;O111)</f>
        <v/>
      </c>
    </row>
    <row r="112" ht="15" customHeight="1" s="134">
      <c r="K112" s="89" t="inlineStr">
        <is>
          <t>114年02月</t>
        </is>
      </c>
      <c r="L112" s="90" t="inlineStr">
        <is>
          <t>醫療費</t>
        </is>
      </c>
      <c r="M112" s="275" t="n">
        <v>250</v>
      </c>
      <c r="N112" s="92" t="inlineStr">
        <is>
          <t>1140224(寧)</t>
        </is>
      </c>
      <c r="O112" s="274">
        <f>IF(K112="","",COUNTIFS($K$12:K112,K112))</f>
        <v/>
      </c>
      <c r="P112" s="93">
        <f>IF(K112="","",K112&amp;"|"&amp;O112)</f>
        <v/>
      </c>
    </row>
    <row r="113" ht="15" customHeight="1" s="134">
      <c r="K113" s="89" t="inlineStr">
        <is>
          <t>114年02月</t>
        </is>
      </c>
      <c r="L113" s="90" t="inlineStr">
        <is>
          <t>醫療費</t>
        </is>
      </c>
      <c r="M113" s="275" t="n">
        <v>250</v>
      </c>
      <c r="N113" s="92" t="inlineStr">
        <is>
          <t>1140227(寧)</t>
        </is>
      </c>
      <c r="O113" s="274">
        <f>IF(K113="","",COUNTIFS($K$12:K113,K113))</f>
        <v/>
      </c>
      <c r="P113" s="93">
        <f>IF(K113="","",K113&amp;"|"&amp;O113)</f>
        <v/>
      </c>
    </row>
    <row r="114" ht="15" customHeight="1" s="134">
      <c r="K114" s="89" t="inlineStr">
        <is>
          <t>114年03月</t>
        </is>
      </c>
      <c r="L114" s="90" t="inlineStr">
        <is>
          <t>教育費</t>
        </is>
      </c>
      <c r="M114" s="275" t="n">
        <v>2000</v>
      </c>
      <c r="N114" s="92" t="inlineStr">
        <is>
          <t>11403準公共(維)</t>
        </is>
      </c>
      <c r="O114" s="274">
        <f>IF(K114="","",COUNTIFS($K$12:K114,K114))</f>
        <v/>
      </c>
      <c r="P114" s="93">
        <f>IF(K114="","",K114&amp;"|"&amp;O114)</f>
        <v/>
      </c>
    </row>
    <row r="115" ht="15" customHeight="1" s="134">
      <c r="K115" s="89" t="inlineStr">
        <is>
          <t>114年03月</t>
        </is>
      </c>
      <c r="L115" s="90" t="inlineStr">
        <is>
          <t>保險費</t>
        </is>
      </c>
      <c r="M115" s="275" t="n">
        <v>14737</v>
      </c>
      <c r="N115" s="92" t="inlineStr">
        <is>
          <t>114全球人壽(維)</t>
        </is>
      </c>
      <c r="O115" s="274">
        <f>IF(K115="","",COUNTIFS($K$12:K115,K115))</f>
        <v/>
      </c>
      <c r="P115" s="93">
        <f>IF(K115="","",K115&amp;"|"&amp;O115)</f>
        <v/>
      </c>
    </row>
    <row r="116" ht="15" customHeight="1" s="134">
      <c r="K116" s="89" t="inlineStr">
        <is>
          <t>114年03月</t>
        </is>
      </c>
      <c r="L116" s="90" t="inlineStr">
        <is>
          <t>醫療費</t>
        </is>
      </c>
      <c r="M116" s="275" t="n">
        <v>250</v>
      </c>
      <c r="N116" s="92" t="inlineStr">
        <is>
          <t>1130304(維)</t>
        </is>
      </c>
      <c r="O116" s="274">
        <f>IF(K116="","",COUNTIFS($K$12:K116,K116))</f>
        <v/>
      </c>
      <c r="P116" s="93">
        <f>IF(K116="","",K116&amp;"|"&amp;O116)</f>
        <v/>
      </c>
    </row>
    <row r="117" ht="15" customHeight="1" s="134">
      <c r="K117" s="89" t="inlineStr">
        <is>
          <t>114年03月</t>
        </is>
      </c>
      <c r="L117" s="90" t="inlineStr">
        <is>
          <t>教育費</t>
        </is>
      </c>
      <c r="M117" s="275" t="n">
        <v>8950</v>
      </c>
      <c r="N117" s="92" t="inlineStr">
        <is>
          <t>11403安親班(寧)</t>
        </is>
      </c>
      <c r="O117" s="274">
        <f>IF(K117="","",COUNTIFS($K$12:K117,K117))</f>
        <v/>
      </c>
      <c r="P117" s="93">
        <f>IF(K117="","",K117&amp;"|"&amp;O117)</f>
        <v/>
      </c>
    </row>
    <row r="118" ht="15" customHeight="1" s="134">
      <c r="K118" s="89" t="inlineStr">
        <is>
          <t>114年03月</t>
        </is>
      </c>
      <c r="L118" s="90" t="inlineStr">
        <is>
          <t>保險費</t>
        </is>
      </c>
      <c r="M118" s="275" t="n">
        <v>1614</v>
      </c>
      <c r="N118" s="92" t="inlineStr">
        <is>
          <t>114新安產險(維)</t>
        </is>
      </c>
      <c r="O118" s="274">
        <f>IF(K118="","",COUNTIFS($K$12:K118,K118))</f>
        <v/>
      </c>
      <c r="P118" s="93">
        <f>IF(K118="","",K118&amp;"|"&amp;O118)</f>
        <v/>
      </c>
    </row>
    <row r="119" ht="15" customHeight="1" s="134">
      <c r="K119" s="89" t="inlineStr">
        <is>
          <t>114年03月</t>
        </is>
      </c>
      <c r="L119" s="90" t="inlineStr">
        <is>
          <t>教育費</t>
        </is>
      </c>
      <c r="M119" s="275" t="n">
        <v>1800</v>
      </c>
      <c r="N119" s="92" t="inlineStr">
        <is>
          <t>11403安親班教材(寧)</t>
        </is>
      </c>
      <c r="O119" s="274">
        <f>IF(K119="","",COUNTIFS($K$12:K119,K119))</f>
        <v/>
      </c>
      <c r="P119" s="93">
        <f>IF(K119="","",K119&amp;"|"&amp;O119)</f>
        <v/>
      </c>
    </row>
    <row r="120" ht="15" customHeight="1" s="134">
      <c r="K120" s="89" t="inlineStr">
        <is>
          <t>114年03月</t>
        </is>
      </c>
      <c r="L120" s="90" t="inlineStr">
        <is>
          <t>保險費</t>
        </is>
      </c>
      <c r="M120" s="275" t="n">
        <v>8479</v>
      </c>
      <c r="N120" s="92" t="inlineStr">
        <is>
          <t>114台灣人壽(維)</t>
        </is>
      </c>
      <c r="O120" s="274">
        <f>IF(K120="","",COUNTIFS($K$12:K120,K120))</f>
        <v/>
      </c>
      <c r="P120" s="93">
        <f>IF(K120="","",K120&amp;"|"&amp;O120)</f>
        <v/>
      </c>
    </row>
    <row r="121" ht="15" customHeight="1" s="134">
      <c r="K121" s="89" t="inlineStr">
        <is>
          <t>114年03月</t>
        </is>
      </c>
      <c r="L121" s="90" t="inlineStr">
        <is>
          <t>教育費</t>
        </is>
      </c>
      <c r="M121" s="275" t="n">
        <v>840</v>
      </c>
      <c r="N121" s="92" t="inlineStr">
        <is>
          <t>11403羊奶費(寧)</t>
        </is>
      </c>
      <c r="O121" s="274">
        <f>IF(K121="","",COUNTIFS($K$12:K121,K121))</f>
        <v/>
      </c>
      <c r="P121" s="93">
        <f>IF(K121="","",K121&amp;"|"&amp;O121)</f>
        <v/>
      </c>
    </row>
    <row r="122" ht="15" customHeight="1" s="134">
      <c r="K122" s="89" t="inlineStr">
        <is>
          <t>114年04月</t>
        </is>
      </c>
      <c r="L122" s="90" t="inlineStr">
        <is>
          <t>教育費</t>
        </is>
      </c>
      <c r="M122" s="275" t="n">
        <v>2000</v>
      </c>
      <c r="N122" s="92" t="inlineStr">
        <is>
          <t>11404準公共(維)</t>
        </is>
      </c>
      <c r="O122" s="274">
        <f>IF(K122="","",COUNTIFS($K$12:K122,K122))</f>
        <v/>
      </c>
      <c r="P122" s="93">
        <f>IF(K122="","",K122&amp;"|"&amp;O122)</f>
        <v/>
      </c>
    </row>
    <row r="123" ht="15" customHeight="1" s="134">
      <c r="K123" s="89" t="inlineStr">
        <is>
          <t>114年04月</t>
        </is>
      </c>
      <c r="L123" s="90" t="inlineStr">
        <is>
          <t>醫療費</t>
        </is>
      </c>
      <c r="M123" s="275" t="n">
        <v>250</v>
      </c>
      <c r="N123" s="92" t="inlineStr">
        <is>
          <t>1140412(寧)</t>
        </is>
      </c>
      <c r="O123" s="274">
        <f>IF(K123="","",COUNTIFS($K$12:K123,K123))</f>
        <v/>
      </c>
      <c r="P123" s="93">
        <f>IF(K123="","",K123&amp;"|"&amp;O123)</f>
        <v/>
      </c>
    </row>
    <row r="124" ht="15" customHeight="1" s="134">
      <c r="K124" s="89" t="inlineStr">
        <is>
          <t>114年04月</t>
        </is>
      </c>
      <c r="L124" s="90" t="inlineStr">
        <is>
          <t>教育費</t>
        </is>
      </c>
      <c r="M124" s="275" t="n">
        <v>8950</v>
      </c>
      <c r="N124" s="92" t="inlineStr">
        <is>
          <t>11404安親班(寧)</t>
        </is>
      </c>
      <c r="O124" s="274">
        <f>IF(K124="","",COUNTIFS($K$12:K124,K124))</f>
        <v/>
      </c>
      <c r="P124" s="93">
        <f>IF(K124="","",K124&amp;"|"&amp;O124)</f>
        <v/>
      </c>
    </row>
    <row r="125" ht="15" customHeight="1" s="134">
      <c r="K125" s="89" t="inlineStr">
        <is>
          <t>114年04月</t>
        </is>
      </c>
      <c r="L125" s="90" t="inlineStr">
        <is>
          <t>教育費</t>
        </is>
      </c>
      <c r="M125" s="275" t="n">
        <v>250</v>
      </c>
      <c r="N125" s="92" t="inlineStr">
        <is>
          <t>11404安親班(寧)5/1補</t>
        </is>
      </c>
      <c r="O125" s="274">
        <f>IF(K125="","",COUNTIFS($K$12:K125,K125))</f>
        <v/>
      </c>
      <c r="P125" s="93">
        <f>IF(K125="","",K125&amp;"|"&amp;O125)</f>
        <v/>
      </c>
    </row>
    <row r="126" ht="15" customHeight="1" s="134">
      <c r="K126" s="89" t="inlineStr">
        <is>
          <t>114年05月</t>
        </is>
      </c>
      <c r="L126" s="90" t="inlineStr">
        <is>
          <t>教育費</t>
        </is>
      </c>
      <c r="M126" s="275" t="n">
        <v>2000</v>
      </c>
      <c r="N126" s="92" t="inlineStr">
        <is>
          <t>11405準公共(維)</t>
        </is>
      </c>
      <c r="O126" s="274">
        <f>IF(K126="","",COUNTIFS($K$12:K126,K126))</f>
        <v/>
      </c>
      <c r="P126" s="93">
        <f>IF(K126="","",K126&amp;"|"&amp;O126)</f>
        <v/>
      </c>
    </row>
    <row r="127" ht="15" customHeight="1" s="134">
      <c r="K127" s="89" t="inlineStr">
        <is>
          <t>114年05月</t>
        </is>
      </c>
      <c r="L127" s="90" t="inlineStr">
        <is>
          <t>醫療費</t>
        </is>
      </c>
      <c r="M127" s="275" t="n">
        <v>100</v>
      </c>
      <c r="N127" s="92" t="inlineStr">
        <is>
          <t>1140501(維)</t>
        </is>
      </c>
      <c r="O127" s="274">
        <f>IF(K127="","",COUNTIFS($K$12:K127,K127))</f>
        <v/>
      </c>
      <c r="P127" s="93">
        <f>IF(K127="","",K127&amp;"|"&amp;O127)</f>
        <v/>
      </c>
    </row>
    <row r="128" ht="15" customHeight="1" s="134">
      <c r="K128" s="89" t="inlineStr">
        <is>
          <t>114年05月</t>
        </is>
      </c>
      <c r="L128" s="90" t="inlineStr">
        <is>
          <t>教育費</t>
        </is>
      </c>
      <c r="M128" s="275" t="n">
        <v>8600</v>
      </c>
      <c r="N128" s="92" t="inlineStr">
        <is>
          <t>11405安親班(寧)</t>
        </is>
      </c>
      <c r="O128" s="274">
        <f>IF(K128="","",COUNTIFS($K$12:K128,K128))</f>
        <v/>
      </c>
      <c r="P128" s="93">
        <f>IF(K128="","",K128&amp;"|"&amp;O128)</f>
        <v/>
      </c>
    </row>
    <row r="129" ht="15" customHeight="1" s="134">
      <c r="K129" s="89" t="inlineStr">
        <is>
          <t>114年05月</t>
        </is>
      </c>
      <c r="L129" s="90" t="inlineStr">
        <is>
          <t>醫療費</t>
        </is>
      </c>
      <c r="M129" s="275" t="n">
        <v>350</v>
      </c>
      <c r="N129" s="92" t="inlineStr">
        <is>
          <t>1140501(維)</t>
        </is>
      </c>
      <c r="O129" s="274">
        <f>IF(K129="","",COUNTIFS($K$12:K129,K129))</f>
        <v/>
      </c>
      <c r="P129" s="93">
        <f>IF(K129="","",K129&amp;"|"&amp;O129)</f>
        <v/>
      </c>
    </row>
    <row r="130" ht="15" customHeight="1" s="134">
      <c r="K130" s="89" t="inlineStr">
        <is>
          <t>114年05月</t>
        </is>
      </c>
      <c r="L130" s="90" t="inlineStr">
        <is>
          <t>教育費</t>
        </is>
      </c>
      <c r="M130" s="275" t="n">
        <v>896</v>
      </c>
      <c r="N130" s="92" t="inlineStr">
        <is>
          <t>11405羊奶費(寧)</t>
        </is>
      </c>
      <c r="O130" s="274">
        <f>IF(K130="","",COUNTIFS($K$12:K130,K130))</f>
        <v/>
      </c>
      <c r="P130" s="93">
        <f>IF(K130="","",K130&amp;"|"&amp;O130)</f>
        <v/>
      </c>
    </row>
    <row r="131" ht="15" customHeight="1" s="134">
      <c r="K131" s="89" t="inlineStr">
        <is>
          <t>114年05月</t>
        </is>
      </c>
      <c r="L131" s="90" t="inlineStr">
        <is>
          <t>醫療費</t>
        </is>
      </c>
      <c r="M131" s="275" t="n">
        <v>250</v>
      </c>
      <c r="N131" s="92" t="inlineStr">
        <is>
          <t>1140510(維)</t>
        </is>
      </c>
      <c r="O131" s="274">
        <f>IF(K131="","",COUNTIFS($K$12:K131,K131))</f>
        <v/>
      </c>
      <c r="P131" s="93">
        <f>IF(K131="","",K131&amp;"|"&amp;O131)</f>
        <v/>
      </c>
    </row>
    <row r="132" ht="15" customHeight="1" s="134">
      <c r="K132" s="89" t="inlineStr">
        <is>
          <t>114年05月</t>
        </is>
      </c>
      <c r="L132" s="90" t="inlineStr">
        <is>
          <t>醫療費</t>
        </is>
      </c>
      <c r="M132" s="275" t="n">
        <v>220</v>
      </c>
      <c r="N132" s="92" t="inlineStr">
        <is>
          <t>1140520(寧)</t>
        </is>
      </c>
      <c r="O132" s="274">
        <f>IF(K132="","",COUNTIFS($K$12:K132,K132))</f>
        <v/>
      </c>
      <c r="P132" s="93">
        <f>IF(K132="","",K132&amp;"|"&amp;O132)</f>
        <v/>
      </c>
    </row>
    <row r="133" ht="15" customHeight="1" s="134">
      <c r="K133" s="89" t="inlineStr">
        <is>
          <t>114年05月</t>
        </is>
      </c>
      <c r="L133" s="90" t="inlineStr">
        <is>
          <t>醫療費</t>
        </is>
      </c>
      <c r="M133" s="275" t="n">
        <v>200</v>
      </c>
      <c r="N133" s="92" t="inlineStr">
        <is>
          <t>1140527(寧)</t>
        </is>
      </c>
      <c r="O133" s="274">
        <f>IF(K133="","",COUNTIFS($K$12:K133,K133))</f>
        <v/>
      </c>
      <c r="P133" s="93">
        <f>IF(K133="","",K133&amp;"|"&amp;O133)</f>
        <v/>
      </c>
    </row>
    <row r="134" ht="15" customHeight="1" s="134">
      <c r="K134" s="89" t="inlineStr">
        <is>
          <t>114年05月</t>
        </is>
      </c>
      <c r="L134" s="90" t="inlineStr">
        <is>
          <t>醫療費</t>
        </is>
      </c>
      <c r="M134" s="275" t="n">
        <v>200</v>
      </c>
      <c r="N134" s="92" t="inlineStr">
        <is>
          <t>1140529(寧)</t>
        </is>
      </c>
      <c r="O134" s="274">
        <f>IF(K134="","",COUNTIFS($K$12:K134,K134))</f>
        <v/>
      </c>
      <c r="P134" s="93">
        <f>IF(K134="","",K134&amp;"|"&amp;O134)</f>
        <v/>
      </c>
    </row>
    <row r="135" ht="15" customHeight="1" s="134">
      <c r="K135" s="89" t="inlineStr">
        <is>
          <t>114年06月</t>
        </is>
      </c>
      <c r="L135" s="90" t="inlineStr">
        <is>
          <t>教育費</t>
        </is>
      </c>
      <c r="M135" s="275" t="n">
        <v>2000</v>
      </c>
      <c r="N135" s="92" t="inlineStr">
        <is>
          <t>11406準公共(維)</t>
        </is>
      </c>
      <c r="O135" s="274">
        <f>IF(K135="","",COUNTIFS($K$12:K135,K135))</f>
        <v/>
      </c>
      <c r="P135" s="93">
        <f>IF(K135="","",K135&amp;"|"&amp;O135)</f>
        <v/>
      </c>
    </row>
    <row r="136" ht="15" customHeight="1" s="134">
      <c r="K136" s="89" t="inlineStr">
        <is>
          <t>114年06月</t>
        </is>
      </c>
      <c r="L136" s="90" t="inlineStr">
        <is>
          <t>醫療費</t>
        </is>
      </c>
      <c r="M136" s="275" t="n">
        <v>200</v>
      </c>
      <c r="N136" s="92" t="inlineStr">
        <is>
          <t>1140601(寧)</t>
        </is>
      </c>
      <c r="O136" s="274">
        <f>IF(K136="","",COUNTIFS($K$12:K136,K136))</f>
        <v/>
      </c>
      <c r="P136" s="93">
        <f>IF(K136="","",K136&amp;"|"&amp;O136)</f>
        <v/>
      </c>
    </row>
    <row r="137" ht="15" customHeight="1" s="134">
      <c r="K137" s="89" t="inlineStr">
        <is>
          <t>114年06月</t>
        </is>
      </c>
      <c r="L137" s="90" t="inlineStr">
        <is>
          <t>教育費</t>
        </is>
      </c>
      <c r="M137" s="275" t="n">
        <v>10450</v>
      </c>
      <c r="N137" s="92" t="inlineStr">
        <is>
          <t>11406安親班(寧)</t>
        </is>
      </c>
      <c r="O137" s="274">
        <f>IF(K137="","",COUNTIFS($K$12:K137,K137))</f>
        <v/>
      </c>
      <c r="P137" s="93">
        <f>IF(K137="","",K137&amp;"|"&amp;O137)</f>
        <v/>
      </c>
    </row>
    <row r="138" ht="15" customHeight="1" s="134">
      <c r="K138" s="89" t="inlineStr">
        <is>
          <t>114年06月</t>
        </is>
      </c>
      <c r="L138" s="90" t="inlineStr">
        <is>
          <t>醫療費</t>
        </is>
      </c>
      <c r="M138" s="275" t="n">
        <v>200</v>
      </c>
      <c r="N138" s="92" t="inlineStr">
        <is>
          <t>1140605(寧)</t>
        </is>
      </c>
      <c r="O138" s="274">
        <f>IF(K138="","",COUNTIFS($K$12:K138,K138))</f>
        <v/>
      </c>
      <c r="P138" s="93">
        <f>IF(K138="","",K138&amp;"|"&amp;O138)</f>
        <v/>
      </c>
    </row>
    <row r="139" ht="15" customHeight="1" s="134">
      <c r="K139" s="89" t="inlineStr">
        <is>
          <t>114年06月</t>
        </is>
      </c>
      <c r="L139" s="90" t="inlineStr">
        <is>
          <t>教育費</t>
        </is>
      </c>
      <c r="M139" s="275" t="n">
        <v>16500</v>
      </c>
      <c r="N139" s="92" t="inlineStr">
        <is>
          <t>114年下學期註冊費(維)</t>
        </is>
      </c>
      <c r="O139" s="274">
        <f>IF(K139="","",COUNTIFS($K$12:K139,K139))</f>
        <v/>
      </c>
      <c r="P139" s="93">
        <f>IF(K139="","",K139&amp;"|"&amp;O139)</f>
        <v/>
      </c>
    </row>
    <row r="140" ht="15" customHeight="1" s="134">
      <c r="K140" s="89" t="inlineStr">
        <is>
          <t>114年06月</t>
        </is>
      </c>
      <c r="L140" s="90" t="inlineStr">
        <is>
          <t>教育費</t>
        </is>
      </c>
      <c r="M140" s="275" t="n">
        <v>300</v>
      </c>
      <c r="N140" s="92" t="inlineStr">
        <is>
          <t>114年幼稚園租衣費(維)</t>
        </is>
      </c>
      <c r="O140" s="274">
        <f>IF(K140="","",COUNTIFS($K$12:K140,K140))</f>
        <v/>
      </c>
      <c r="P140" s="93">
        <f>IF(K140="","",K140&amp;"|"&amp;O140)</f>
        <v/>
      </c>
    </row>
    <row r="141" ht="15" customHeight="1" s="134">
      <c r="K141" s="89" t="inlineStr">
        <is>
          <t>114年07月</t>
        </is>
      </c>
      <c r="L141" s="90" t="inlineStr">
        <is>
          <t>教育費</t>
        </is>
      </c>
      <c r="M141" s="275" t="n">
        <v>2000</v>
      </c>
      <c r="N141" s="92" t="inlineStr">
        <is>
          <t>11407準公共(維)</t>
        </is>
      </c>
      <c r="O141" s="274">
        <f>IF(K141="","",COUNTIFS($K$12:K141,K141))</f>
        <v/>
      </c>
      <c r="P141" s="93">
        <f>IF(K141="","",K141&amp;"|"&amp;O141)</f>
        <v/>
      </c>
    </row>
    <row r="142" ht="15" customHeight="1" s="134">
      <c r="K142" s="89" t="inlineStr">
        <is>
          <t>114年07月</t>
        </is>
      </c>
      <c r="L142" s="90" t="inlineStr">
        <is>
          <t>保險費</t>
        </is>
      </c>
      <c r="M142" s="275" t="n">
        <v>1614</v>
      </c>
      <c r="N142" s="94" t="inlineStr">
        <is>
          <t>新安產險(寧)</t>
        </is>
      </c>
      <c r="O142" s="274">
        <f>IF(K142="","",COUNTIFS($K$12:K142,K142))</f>
        <v/>
      </c>
      <c r="P142" s="93">
        <f>IF(K142="","",K142&amp;"|"&amp;O142)</f>
        <v/>
      </c>
    </row>
    <row r="143" ht="15" customHeight="1" s="134">
      <c r="K143" s="89" t="inlineStr">
        <is>
          <t>114年07月</t>
        </is>
      </c>
      <c r="L143" s="90" t="inlineStr">
        <is>
          <t>醫療費</t>
        </is>
      </c>
      <c r="M143" s="275" t="n">
        <v>200</v>
      </c>
      <c r="N143" s="92" t="inlineStr">
        <is>
          <t>1140715(維)</t>
        </is>
      </c>
      <c r="O143" s="274">
        <f>IF(K143="","",COUNTIFS($K$12:K143,K143))</f>
        <v/>
      </c>
      <c r="P143" s="93">
        <f>IF(K143="","",K143&amp;"|"&amp;O143)</f>
        <v/>
      </c>
    </row>
    <row r="144" ht="15" customHeight="1" s="134">
      <c r="K144" s="89" t="inlineStr">
        <is>
          <t>114年07月</t>
        </is>
      </c>
      <c r="L144" s="90" t="inlineStr">
        <is>
          <t>教育費</t>
        </is>
      </c>
      <c r="M144" s="275" t="n">
        <v>16510</v>
      </c>
      <c r="N144" s="92" t="inlineStr">
        <is>
          <t>11407安親班(寧)</t>
        </is>
      </c>
      <c r="O144" s="274">
        <f>IF(K144="","",COUNTIFS($K$12:K144,K144))</f>
        <v/>
      </c>
      <c r="P144" s="93">
        <f>IF(K144="","",K144&amp;"|"&amp;O144)</f>
        <v/>
      </c>
    </row>
    <row r="145" ht="15" customHeight="1" s="134">
      <c r="K145" s="89" t="inlineStr">
        <is>
          <t>114年07月</t>
        </is>
      </c>
      <c r="L145" s="90" t="inlineStr">
        <is>
          <t>保險費</t>
        </is>
      </c>
      <c r="M145" s="275" t="n">
        <v>6588</v>
      </c>
      <c r="N145" s="94" t="inlineStr">
        <is>
          <t>台灣人壽(寧)</t>
        </is>
      </c>
      <c r="O145" s="274">
        <f>IF(K145="","",COUNTIFS($K$12:K145,K145))</f>
        <v/>
      </c>
      <c r="P145" s="93">
        <f>IF(K145="","",K145&amp;"|"&amp;O145)</f>
        <v/>
      </c>
    </row>
    <row r="146" ht="15" customHeight="1" s="134">
      <c r="K146" s="89" t="inlineStr">
        <is>
          <t>114年07月</t>
        </is>
      </c>
      <c r="L146" s="90" t="inlineStr">
        <is>
          <t>醫療費</t>
        </is>
      </c>
      <c r="M146" s="275" t="n">
        <v>360</v>
      </c>
      <c r="N146" s="92" t="inlineStr">
        <is>
          <t>1140721(維)</t>
        </is>
      </c>
      <c r="O146" s="274">
        <f>IF(K146="","",COUNTIFS($K$12:K146,K146))</f>
        <v/>
      </c>
      <c r="P146" s="93">
        <f>IF(K146="","",K146&amp;"|"&amp;O146)</f>
        <v/>
      </c>
    </row>
    <row r="147" ht="15" customHeight="1" s="134">
      <c r="K147" s="89" t="inlineStr">
        <is>
          <t>114年07月</t>
        </is>
      </c>
      <c r="L147" s="90" t="inlineStr">
        <is>
          <t>保險費</t>
        </is>
      </c>
      <c r="M147" s="275" t="n">
        <v>12848</v>
      </c>
      <c r="N147" s="94" t="inlineStr">
        <is>
          <t>全球人壽(寧)</t>
        </is>
      </c>
      <c r="O147" s="274">
        <f>IF(K147="","",COUNTIFS($K$12:K147,K147))</f>
        <v/>
      </c>
      <c r="P147" s="93">
        <f>IF(K147="","",K147&amp;"|"&amp;O147)</f>
        <v/>
      </c>
    </row>
    <row r="148" ht="15" customHeight="1" s="134">
      <c r="K148" s="89" t="inlineStr">
        <is>
          <t>114年07月</t>
        </is>
      </c>
      <c r="L148" s="90" t="inlineStr">
        <is>
          <t>醫療費</t>
        </is>
      </c>
      <c r="M148" s="275" t="n">
        <v>360</v>
      </c>
      <c r="N148" s="92" t="inlineStr">
        <is>
          <t>1140728(維)</t>
        </is>
      </c>
      <c r="O148" s="274">
        <f>IF(K148="","",COUNTIFS($K$12:K148,K148))</f>
        <v/>
      </c>
      <c r="P148" s="93">
        <f>IF(K148="","",K148&amp;"|"&amp;O148)</f>
        <v/>
      </c>
    </row>
    <row r="149" ht="15" customHeight="1" s="134">
      <c r="K149" s="89" t="inlineStr">
        <is>
          <t>114年07月</t>
        </is>
      </c>
      <c r="L149" s="90" t="inlineStr">
        <is>
          <t>醫療費</t>
        </is>
      </c>
      <c r="M149" s="275" t="n">
        <v>220</v>
      </c>
      <c r="N149" s="92" t="inlineStr">
        <is>
          <t>1140731(寧)</t>
        </is>
      </c>
      <c r="O149" s="274">
        <f>IF(K149="","",COUNTIFS($K$12:K149,K149))</f>
        <v/>
      </c>
      <c r="P149" s="93">
        <f>IF(K149="","",K149&amp;"|"&amp;O149)</f>
        <v/>
      </c>
    </row>
    <row r="150" ht="15" customHeight="1" s="134">
      <c r="K150" s="89" t="inlineStr">
        <is>
          <t>114年08月</t>
        </is>
      </c>
      <c r="L150" s="90" t="inlineStr">
        <is>
          <t>教育費</t>
        </is>
      </c>
      <c r="M150" s="275" t="n">
        <v>2233</v>
      </c>
      <c r="N150" s="92" t="inlineStr">
        <is>
          <t>11408準公共(維)</t>
        </is>
      </c>
      <c r="O150" s="274">
        <f>IF(K150="","",COUNTIFS($K$12:K150,K150))</f>
        <v/>
      </c>
      <c r="P150" s="93">
        <f>IF(K150="","",K150&amp;"|"&amp;O150)</f>
        <v/>
      </c>
    </row>
    <row r="151" ht="15" customHeight="1" s="134">
      <c r="K151" s="89" t="inlineStr">
        <is>
          <t>114年08月</t>
        </is>
      </c>
      <c r="L151" s="90" t="inlineStr">
        <is>
          <t>醫療費</t>
        </is>
      </c>
      <c r="M151" s="275" t="n">
        <v>200</v>
      </c>
      <c r="N151" s="92" t="inlineStr">
        <is>
          <t>1140814(寧)</t>
        </is>
      </c>
      <c r="O151" s="274">
        <f>IF(K151="","",COUNTIFS($K$12:K151,K151))</f>
        <v/>
      </c>
      <c r="P151" s="93">
        <f>IF(K151="","",K151&amp;"|"&amp;O151)</f>
        <v/>
      </c>
    </row>
    <row r="152" ht="15" customHeight="1" s="134">
      <c r="K152" s="89" t="inlineStr">
        <is>
          <t>114年08月</t>
        </is>
      </c>
      <c r="L152" s="90" t="inlineStr">
        <is>
          <t>教育費</t>
        </is>
      </c>
      <c r="M152" s="275" t="n">
        <v>16160</v>
      </c>
      <c r="N152" s="92" t="inlineStr">
        <is>
          <t>11408安親班(寧)</t>
        </is>
      </c>
      <c r="O152" s="274">
        <f>IF(K152="","",COUNTIFS($K$12:K152,K152))</f>
        <v/>
      </c>
      <c r="P152" s="93">
        <f>IF(K152="","",K152&amp;"|"&amp;O152)</f>
        <v/>
      </c>
    </row>
    <row r="153" ht="15" customHeight="1" s="134">
      <c r="K153" s="89" t="inlineStr">
        <is>
          <t>114年09月</t>
        </is>
      </c>
      <c r="L153" s="90" t="inlineStr">
        <is>
          <t>教育費</t>
        </is>
      </c>
      <c r="M153" s="275" t="n">
        <v>2000</v>
      </c>
      <c r="N153" s="92" t="inlineStr">
        <is>
          <t>11409準公共(維)第一</t>
        </is>
      </c>
      <c r="O153" s="274">
        <f>IF(K153="","",COUNTIFS($K$12:K153,K153))</f>
        <v/>
      </c>
      <c r="P153" s="93">
        <f>IF(K153="","",K153&amp;"|"&amp;O153)</f>
        <v/>
      </c>
    </row>
    <row r="154" ht="15" customHeight="1" s="134">
      <c r="K154" s="89" t="inlineStr">
        <is>
          <t>114年09月</t>
        </is>
      </c>
      <c r="L154" s="90" t="inlineStr">
        <is>
          <t>醫療費</t>
        </is>
      </c>
      <c r="M154" s="275" t="n">
        <v>1050</v>
      </c>
      <c r="N154" s="92" t="inlineStr">
        <is>
          <t>1140902(寧)</t>
        </is>
      </c>
      <c r="O154" s="274">
        <f>IF(K154="","",COUNTIFS($K$12:K154,K154))</f>
        <v/>
      </c>
      <c r="P154" s="93">
        <f>IF(K154="","",K154&amp;"|"&amp;O154)</f>
        <v/>
      </c>
    </row>
    <row r="155" ht="15" customHeight="1" s="134">
      <c r="K155" s="89" t="inlineStr">
        <is>
          <t>114年09月</t>
        </is>
      </c>
      <c r="L155" s="90" t="inlineStr">
        <is>
          <t>教育費</t>
        </is>
      </c>
      <c r="M155" s="275" t="n">
        <v>9150</v>
      </c>
      <c r="N155" s="92" t="inlineStr">
        <is>
          <t>11409安親班(寧)郵局</t>
        </is>
      </c>
      <c r="O155" s="274">
        <f>IF(K155="","",COUNTIFS($K$12:K155,K155))</f>
        <v/>
      </c>
      <c r="P155" s="93">
        <f>IF(K155="","",K155&amp;"|"&amp;O155)</f>
        <v/>
      </c>
    </row>
    <row r="156" ht="15" customHeight="1" s="134">
      <c r="K156" s="89" t="inlineStr">
        <is>
          <t>114年09月</t>
        </is>
      </c>
      <c r="L156" s="90" t="inlineStr">
        <is>
          <t>教育費</t>
        </is>
      </c>
      <c r="M156" s="275" t="n">
        <v>1800</v>
      </c>
      <c r="N156" s="92" t="inlineStr">
        <is>
          <t>11409英文教材(寧)郵局</t>
        </is>
      </c>
      <c r="O156" s="274">
        <f>IF(K156="","",COUNTIFS($K$12:K156,K156))</f>
        <v/>
      </c>
      <c r="P156" s="93">
        <f>IF(K156="","",K156&amp;"|"&amp;O156)</f>
        <v/>
      </c>
    </row>
    <row r="157" ht="15" customHeight="1" s="134">
      <c r="K157" s="89" t="inlineStr">
        <is>
          <t>114年09月</t>
        </is>
      </c>
      <c r="L157" s="90" t="inlineStr">
        <is>
          <t>教育費</t>
        </is>
      </c>
      <c r="M157" s="275" t="n">
        <v>2000</v>
      </c>
      <c r="N157" s="92" t="inlineStr">
        <is>
          <t>11409全科輔導教材(寧)郵局</t>
        </is>
      </c>
      <c r="O157" s="274">
        <f>IF(K157="","",COUNTIFS($K$12:K157,K157))</f>
        <v/>
      </c>
      <c r="P157" s="93">
        <f>IF(K157="","",K157&amp;"|"&amp;O157)</f>
        <v/>
      </c>
    </row>
    <row r="158" ht="15" customHeight="1" s="134">
      <c r="K158" s="89" t="inlineStr">
        <is>
          <t>114年09月</t>
        </is>
      </c>
      <c r="L158" s="90" t="inlineStr">
        <is>
          <t>教育費</t>
        </is>
      </c>
      <c r="M158" s="275" t="n">
        <v>840</v>
      </c>
      <c r="N158" s="92" t="inlineStr">
        <is>
          <t>11409羊奶費(寧)現金</t>
        </is>
      </c>
      <c r="O158" s="274">
        <f>IF(K158="","",COUNTIFS($K$12:K158,K158))</f>
        <v/>
      </c>
      <c r="P158" s="93">
        <f>IF(K158="","",K158&amp;"|"&amp;O158)</f>
        <v/>
      </c>
    </row>
    <row r="159" ht="15" customHeight="1" s="134">
      <c r="K159" s="89" t="inlineStr">
        <is>
          <t>114年09月</t>
        </is>
      </c>
      <c r="L159" s="90" t="inlineStr">
        <is>
          <t>教育費</t>
        </is>
      </c>
      <c r="M159" s="275" t="n">
        <v>6339</v>
      </c>
      <c r="N159" s="92" t="inlineStr">
        <is>
          <t>114年第1學期營養午餐(寧)第一</t>
        </is>
      </c>
      <c r="O159" s="274">
        <f>IF(K159="","",COUNTIFS($K$12:K159,K159))</f>
        <v/>
      </c>
      <c r="P159" s="93">
        <f>IF(K159="","",K159&amp;"|"&amp;O159)</f>
        <v/>
      </c>
    </row>
    <row r="160" ht="15" customHeight="1" s="134">
      <c r="K160" s="89" t="inlineStr">
        <is>
          <t>114年09月</t>
        </is>
      </c>
      <c r="L160" s="90" t="inlineStr">
        <is>
          <t>教育費</t>
        </is>
      </c>
      <c r="M160" s="275" t="n">
        <v>150</v>
      </c>
      <c r="N160" s="92" t="inlineStr">
        <is>
          <t>114年北屯國小教材費(寧)現金</t>
        </is>
      </c>
      <c r="O160" s="274">
        <f>IF(K160="","",COUNTIFS($K$12:K160,K160))</f>
        <v/>
      </c>
      <c r="P160" s="93">
        <f>IF(K160="","",K160&amp;"|"&amp;O160)</f>
        <v/>
      </c>
    </row>
    <row r="161" ht="15" customHeight="1" s="134">
      <c r="K161" s="89" t="inlineStr">
        <is>
          <t>114年09月</t>
        </is>
      </c>
      <c r="L161" s="90" t="inlineStr">
        <is>
          <t>教育費</t>
        </is>
      </c>
      <c r="M161" s="275" t="n">
        <v>662</v>
      </c>
      <c r="N161" s="92" t="inlineStr">
        <is>
          <t>114北屯國小合作社(寧)第一</t>
        </is>
      </c>
      <c r="O161" s="274">
        <f>IF(K161="","",COUNTIFS($K$12:K161,K161))</f>
        <v/>
      </c>
      <c r="P161" s="93">
        <f>IF(K161="","",K161&amp;"|"&amp;O161)</f>
        <v/>
      </c>
    </row>
    <row r="162" ht="15" customHeight="1" s="134">
      <c r="K162" s="89" t="inlineStr">
        <is>
          <t>114年10月</t>
        </is>
      </c>
      <c r="L162" s="90" t="inlineStr">
        <is>
          <t>教育費</t>
        </is>
      </c>
      <c r="M162" s="275" t="n">
        <v>2000</v>
      </c>
      <c r="N162" s="92" t="inlineStr">
        <is>
          <t>11410準公共(維)第一</t>
        </is>
      </c>
      <c r="O162" s="274">
        <f>IF(K162="","",COUNTIFS($K$12:K162,K162))</f>
        <v/>
      </c>
      <c r="P162" s="93">
        <f>IF(K162="","",K162&amp;"|"&amp;O162)</f>
        <v/>
      </c>
    </row>
    <row r="163" ht="15" customHeight="1" s="134">
      <c r="K163" s="89" t="inlineStr">
        <is>
          <t>114年10月</t>
        </is>
      </c>
      <c r="L163" s="90" t="inlineStr">
        <is>
          <t>醫療費</t>
        </is>
      </c>
      <c r="M163" s="275" t="n">
        <v>650</v>
      </c>
      <c r="N163" s="92" t="inlineStr">
        <is>
          <t>1141018(寧)</t>
        </is>
      </c>
      <c r="O163" s="274">
        <f>IF(K163="","",COUNTIFS($K$12:K163,K163))</f>
        <v/>
      </c>
      <c r="P163" s="93">
        <f>IF(K163="","",K163&amp;"|"&amp;O163)</f>
        <v/>
      </c>
    </row>
    <row r="164" ht="15" customHeight="1" s="134">
      <c r="K164" s="89" t="inlineStr">
        <is>
          <t>114年10月</t>
        </is>
      </c>
      <c r="L164" s="90" t="inlineStr">
        <is>
          <t>教育費</t>
        </is>
      </c>
      <c r="M164" s="275" t="n">
        <v>8800</v>
      </c>
      <c r="N164" s="92" t="inlineStr">
        <is>
          <t>11410安親班(寧)郵局</t>
        </is>
      </c>
      <c r="O164" s="274">
        <f>IF(K164="","",COUNTIFS($K$12:K164,K164))</f>
        <v/>
      </c>
      <c r="P164" s="93">
        <f>IF(K164="","",K164&amp;"|"&amp;O164)</f>
        <v/>
      </c>
    </row>
    <row r="165" ht="15" customHeight="1" s="134">
      <c r="K165" s="89" t="inlineStr">
        <is>
          <t>114年10月</t>
        </is>
      </c>
      <c r="L165" s="90" t="inlineStr">
        <is>
          <t>醫療費</t>
        </is>
      </c>
      <c r="M165" s="275" t="n">
        <v>200</v>
      </c>
      <c r="N165" s="92" t="inlineStr">
        <is>
          <t>1141020(維)</t>
        </is>
      </c>
      <c r="O165" s="274">
        <f>IF(K165="","",COUNTIFS($K$12:K165,K165))</f>
        <v/>
      </c>
      <c r="P165" s="93">
        <f>IF(K165="","",K165&amp;"|"&amp;O165)</f>
        <v/>
      </c>
    </row>
    <row r="166" ht="15" customHeight="1" s="134">
      <c r="K166" s="89" t="inlineStr">
        <is>
          <t>114年10月</t>
        </is>
      </c>
      <c r="L166" s="90" t="inlineStr">
        <is>
          <t>教育費</t>
        </is>
      </c>
      <c r="M166" s="275" t="n">
        <v>840</v>
      </c>
      <c r="N166" s="92" t="inlineStr">
        <is>
          <t>11410羊奶費(寧)現金</t>
        </is>
      </c>
      <c r="O166" s="274">
        <f>IF(K166="","",COUNTIFS($K$12:K166,K166))</f>
        <v/>
      </c>
      <c r="P166" s="93">
        <f>IF(K166="","",K166&amp;"|"&amp;O166)</f>
        <v/>
      </c>
    </row>
    <row r="167" ht="15" customHeight="1" s="134">
      <c r="K167" s="89" t="inlineStr">
        <is>
          <t>114年10月</t>
        </is>
      </c>
      <c r="L167" s="90" t="inlineStr">
        <is>
          <t>教育費</t>
        </is>
      </c>
      <c r="M167" s="275" t="n">
        <v>450</v>
      </c>
      <c r="N167" s="92" t="inlineStr">
        <is>
          <t>114幼稚園書包(維)現金</t>
        </is>
      </c>
      <c r="O167" s="274">
        <f>IF(K167="","",COUNTIFS($K$12:K167,K167))</f>
        <v/>
      </c>
      <c r="P167" s="93">
        <f>IF(K167="","",K167&amp;"|"&amp;O167)</f>
        <v/>
      </c>
    </row>
    <row r="168" ht="15" customHeight="1" s="134">
      <c r="K168" s="89" t="inlineStr">
        <is>
          <t>114年11月</t>
        </is>
      </c>
      <c r="L168" s="90" t="inlineStr">
        <is>
          <t>教育費</t>
        </is>
      </c>
      <c r="M168" s="275" t="n">
        <v>2000</v>
      </c>
      <c r="N168" s="92" t="inlineStr">
        <is>
          <t>11411準公共(維)第一</t>
        </is>
      </c>
      <c r="O168" s="274">
        <f>IF(K168="","",COUNTIFS($K$12:K168,K168))</f>
        <v/>
      </c>
      <c r="P168" s="93">
        <f>IF(K168="","",K168&amp;"|"&amp;O168)</f>
        <v/>
      </c>
    </row>
    <row r="169" ht="15" customHeight="1" s="134">
      <c r="K169" s="89" t="inlineStr">
        <is>
          <t>114年11月</t>
        </is>
      </c>
      <c r="L169" s="90" t="inlineStr">
        <is>
          <t>醫療費</t>
        </is>
      </c>
      <c r="M169" s="275" t="n">
        <v>610</v>
      </c>
      <c r="N169" s="92" t="inlineStr">
        <is>
          <t>1141115(寧)</t>
        </is>
      </c>
      <c r="O169" s="274">
        <f>IF(K169="","",COUNTIFS($K$12:K169,K169))</f>
        <v/>
      </c>
      <c r="P169" s="93">
        <f>IF(K169="","",K169&amp;"|"&amp;O169)</f>
        <v/>
      </c>
    </row>
    <row r="170" ht="15" customHeight="1" s="134">
      <c r="K170" s="89" t="inlineStr">
        <is>
          <t>114年11月</t>
        </is>
      </c>
      <c r="L170" s="90" t="inlineStr">
        <is>
          <t>教育費</t>
        </is>
      </c>
      <c r="M170" s="275" t="n">
        <v>8800</v>
      </c>
      <c r="N170" s="92" t="inlineStr">
        <is>
          <t>11411安親班(寧)郵局</t>
        </is>
      </c>
      <c r="O170" s="274">
        <f>IF(K170="","",COUNTIFS($K$12:K170,K170))</f>
        <v/>
      </c>
      <c r="P170" s="93">
        <f>IF(K170="","",K170&amp;"|"&amp;O170)</f>
        <v/>
      </c>
    </row>
    <row r="171" ht="15" customHeight="1" s="134">
      <c r="K171" s="89" t="inlineStr">
        <is>
          <t>114年11月</t>
        </is>
      </c>
      <c r="L171" s="90" t="inlineStr">
        <is>
          <t>醫療費</t>
        </is>
      </c>
      <c r="M171" s="275" t="n">
        <v>450</v>
      </c>
      <c r="N171" s="92" t="inlineStr">
        <is>
          <t>1141126(維)</t>
        </is>
      </c>
      <c r="O171" s="274">
        <f>IF(K171="","",COUNTIFS($K$12:K171,K171))</f>
        <v/>
      </c>
      <c r="P171" s="93">
        <f>IF(K171="","",K171&amp;"|"&amp;O171)</f>
        <v/>
      </c>
    </row>
    <row r="172" ht="15" customHeight="1" s="134">
      <c r="K172" s="89" t="inlineStr">
        <is>
          <t>114年11月</t>
        </is>
      </c>
      <c r="L172" s="90" t="inlineStr">
        <is>
          <t>教育費</t>
        </is>
      </c>
      <c r="M172" s="275" t="n">
        <v>840</v>
      </c>
      <c r="N172" s="92" t="inlineStr">
        <is>
          <t>11411羊奶費(寧)現金</t>
        </is>
      </c>
      <c r="O172" s="274">
        <f>IF(K172="","",COUNTIFS($K$12:K172,K172))</f>
        <v/>
      </c>
      <c r="P172" s="93">
        <f>IF(K172="","",K172&amp;"|"&amp;O172)</f>
        <v/>
      </c>
    </row>
    <row r="173" ht="15" customHeight="1" s="134">
      <c r="K173" s="89" t="inlineStr">
        <is>
          <t>114年12月</t>
        </is>
      </c>
      <c r="L173" s="90" t="inlineStr">
        <is>
          <t>教育費</t>
        </is>
      </c>
      <c r="M173" s="275" t="n">
        <v>2000</v>
      </c>
      <c r="N173" s="92" t="inlineStr">
        <is>
          <t>11412準公共(維)第一</t>
        </is>
      </c>
      <c r="O173" s="274">
        <f>IF(K173="","",COUNTIFS($K$12:K173,K173))</f>
        <v/>
      </c>
      <c r="P173" s="93">
        <f>IF(K173="","",K173&amp;"|"&amp;O173)</f>
        <v/>
      </c>
    </row>
    <row r="174" ht="15" customHeight="1" s="134">
      <c r="K174" s="89" t="inlineStr">
        <is>
          <t>114年12月</t>
        </is>
      </c>
      <c r="L174" s="90" t="inlineStr">
        <is>
          <t>醫療費</t>
        </is>
      </c>
      <c r="M174" s="275" t="n">
        <v>1087</v>
      </c>
      <c r="N174" s="92" t="inlineStr">
        <is>
          <t>1141214(維)</t>
        </is>
      </c>
      <c r="O174" s="274">
        <f>IF(K174="","",COUNTIFS($K$12:K174,K174))</f>
        <v/>
      </c>
      <c r="P174" s="93">
        <f>IF(K174="","",K174&amp;"|"&amp;O174)</f>
        <v/>
      </c>
    </row>
    <row r="175" ht="15" customHeight="1" s="134">
      <c r="K175" s="89" t="inlineStr">
        <is>
          <t>114年12月</t>
        </is>
      </c>
      <c r="L175" s="90" t="inlineStr">
        <is>
          <t>教育費</t>
        </is>
      </c>
      <c r="M175" s="275" t="n">
        <v>11500</v>
      </c>
      <c r="N175" s="92" t="inlineStr">
        <is>
          <t>11412安親班(寧)郵局</t>
        </is>
      </c>
      <c r="O175" s="274">
        <f>IF(K175="","",COUNTIFS($K$12:K175,K175))</f>
        <v/>
      </c>
      <c r="P175" s="93">
        <f>IF(K175="","",K175&amp;"|"&amp;O175)</f>
        <v/>
      </c>
    </row>
    <row r="176" ht="15" customHeight="1" s="134">
      <c r="K176" s="89" t="inlineStr">
        <is>
          <t>114年12月</t>
        </is>
      </c>
      <c r="L176" s="90" t="inlineStr">
        <is>
          <t>醫療費</t>
        </is>
      </c>
      <c r="M176" s="275" t="n">
        <v>200</v>
      </c>
      <c r="N176" s="92" t="inlineStr">
        <is>
          <t>1141216(寧)</t>
        </is>
      </c>
      <c r="O176" s="274">
        <f>IF(K176="","",COUNTIFS($K$12:K176,K176))</f>
        <v/>
      </c>
      <c r="P176" s="93">
        <f>IF(K176="","",K176&amp;"|"&amp;O176)</f>
        <v/>
      </c>
    </row>
    <row r="177" ht="15" customHeight="1" s="134">
      <c r="K177" s="89" t="inlineStr">
        <is>
          <t>114年12月</t>
        </is>
      </c>
      <c r="L177" s="90" t="inlineStr">
        <is>
          <t>教育費</t>
        </is>
      </c>
      <c r="M177" s="275" t="n">
        <v>896</v>
      </c>
      <c r="N177" s="92" t="inlineStr">
        <is>
          <t>11412羊奶費(寧)現金</t>
        </is>
      </c>
      <c r="O177" s="274">
        <f>IF(K177="","",COUNTIFS($K$12:K177,K177))</f>
        <v/>
      </c>
      <c r="P177" s="93">
        <f>IF(K177="","",K177&amp;"|"&amp;O177)</f>
        <v/>
      </c>
    </row>
    <row r="178" ht="15" customHeight="1" s="134">
      <c r="K178" s="89" t="inlineStr">
        <is>
          <t>114年12月</t>
        </is>
      </c>
      <c r="L178" s="90" t="inlineStr">
        <is>
          <t>醫療費</t>
        </is>
      </c>
      <c r="M178" s="275" t="n">
        <v>200</v>
      </c>
      <c r="N178" s="92" t="inlineStr">
        <is>
          <t>1141228(維)</t>
        </is>
      </c>
      <c r="O178" s="274">
        <f>IF(K178="","",COUNTIFS($K$12:K178,K178))</f>
        <v/>
      </c>
      <c r="P178" s="93">
        <f>IF(K178="","",K178&amp;"|"&amp;O178)</f>
        <v/>
      </c>
    </row>
    <row r="179" ht="15" customHeight="1" s="134">
      <c r="K179" s="89" t="inlineStr">
        <is>
          <t>114年12月</t>
        </is>
      </c>
      <c r="L179" s="90" t="inlineStr">
        <is>
          <t>教育費</t>
        </is>
      </c>
      <c r="M179" s="275" t="n">
        <v>350</v>
      </c>
      <c r="N179" s="92" t="inlineStr">
        <is>
          <t>11412安親班(寧)現金</t>
        </is>
      </c>
      <c r="O179" s="274">
        <f>IF(K179="","",COUNTIFS($K$12:K179,K179))</f>
        <v/>
      </c>
      <c r="P179" s="93">
        <f>IF(K179="","",K179&amp;"|"&amp;O179)</f>
        <v/>
      </c>
    </row>
    <row r="180" ht="15" customHeight="1" s="134">
      <c r="K180" s="89" t="inlineStr">
        <is>
          <t>114年12月</t>
        </is>
      </c>
      <c r="L180" s="90" t="inlineStr">
        <is>
          <t>醫療費</t>
        </is>
      </c>
      <c r="M180" s="275" t="n">
        <v>200</v>
      </c>
      <c r="N180" s="92" t="inlineStr">
        <is>
          <t>1141230(維)</t>
        </is>
      </c>
      <c r="O180" s="274">
        <f>IF(K180="","",COUNTIFS($K$12:K180,K180))</f>
        <v/>
      </c>
      <c r="P180" s="93">
        <f>IF(K180="","",K180&amp;"|"&amp;O180)</f>
        <v/>
      </c>
    </row>
    <row r="181" ht="15" customHeight="1" s="134">
      <c r="K181" s="89" t="inlineStr">
        <is>
          <t>114年12月</t>
        </is>
      </c>
      <c r="L181" s="90" t="inlineStr">
        <is>
          <t>醫療費</t>
        </is>
      </c>
      <c r="M181" s="275" t="n">
        <v>200</v>
      </c>
      <c r="N181" s="92" t="inlineStr">
        <is>
          <t>1141231(寧)</t>
        </is>
      </c>
      <c r="O181" s="274">
        <f>IF(K181="","",COUNTIFS($K$12:K181,K181))</f>
        <v/>
      </c>
      <c r="P181" s="93">
        <f>IF(K181="","",K181&amp;"|"&amp;O181)</f>
        <v/>
      </c>
    </row>
    <row r="182" ht="15" customHeight="1" s="134">
      <c r="K182" s="89" t="inlineStr">
        <is>
          <t>115年01月</t>
        </is>
      </c>
      <c r="L182" s="90" t="inlineStr">
        <is>
          <t>教育費</t>
        </is>
      </c>
      <c r="M182" s="275" t="n">
        <v>2000</v>
      </c>
      <c r="N182" s="92" t="inlineStr">
        <is>
          <t>11501準公共(維)第一</t>
        </is>
      </c>
      <c r="O182" s="274">
        <f>IF(K182="","",COUNTIFS($K$12:K182,K182))</f>
        <v/>
      </c>
      <c r="P182" s="93">
        <f>IF(K182="","",K182&amp;"|"&amp;O182)</f>
        <v/>
      </c>
    </row>
    <row r="183" ht="15" customHeight="1" s="134">
      <c r="K183" s="89" t="inlineStr">
        <is>
          <t>115年01月</t>
        </is>
      </c>
      <c r="L183" s="90" t="inlineStr">
        <is>
          <t>醫療費</t>
        </is>
      </c>
      <c r="M183" s="275" t="n">
        <v>200</v>
      </c>
      <c r="N183" s="92" t="inlineStr">
        <is>
          <t>1150102(寧)</t>
        </is>
      </c>
      <c r="O183" s="274">
        <f>IF(K183="","",COUNTIFS($K$12:K183,K183))</f>
        <v/>
      </c>
      <c r="P183" s="93">
        <f>IF(K183="","",K183&amp;"|"&amp;O183)</f>
        <v/>
      </c>
    </row>
    <row r="184" ht="15" customHeight="1" s="134">
      <c r="K184" s="89" t="inlineStr">
        <is>
          <t>115年01月</t>
        </is>
      </c>
      <c r="L184" s="90" t="inlineStr">
        <is>
          <t>教育費</t>
        </is>
      </c>
      <c r="M184" s="275" t="n">
        <v>16500</v>
      </c>
      <c r="N184" s="92" t="inlineStr">
        <is>
          <t>11501註冊費(維)第一</t>
        </is>
      </c>
      <c r="O184" s="274">
        <f>IF(K184="","",COUNTIFS($K$12:K184,K184))</f>
        <v/>
      </c>
      <c r="P184" s="93">
        <f>IF(K184="","",K184&amp;"|"&amp;O184)</f>
        <v/>
      </c>
    </row>
    <row r="185" ht="15" customHeight="1" s="134">
      <c r="K185" s="89" t="inlineStr">
        <is>
          <t>115年01月</t>
        </is>
      </c>
      <c r="L185" s="90" t="inlineStr">
        <is>
          <t>醫療費</t>
        </is>
      </c>
      <c r="M185" s="275" t="n">
        <v>200</v>
      </c>
      <c r="N185" s="92" t="inlineStr">
        <is>
          <t>1150102(維)</t>
        </is>
      </c>
      <c r="O185" s="274">
        <f>IF(K185="","",COUNTIFS($K$12:K185,K185))</f>
        <v/>
      </c>
      <c r="P185" s="93">
        <f>IF(K185="","",K185&amp;"|"&amp;O185)</f>
        <v/>
      </c>
    </row>
    <row r="186" ht="15" customHeight="1" s="134">
      <c r="K186" s="89" t="inlineStr">
        <is>
          <t>115年01月</t>
        </is>
      </c>
      <c r="L186" s="90" t="inlineStr">
        <is>
          <t>教育費</t>
        </is>
      </c>
      <c r="M186" s="275" t="n">
        <v>9800</v>
      </c>
      <c r="N186" s="92" t="inlineStr">
        <is>
          <t>11501安親班(寧)郵局</t>
        </is>
      </c>
      <c r="O186" s="274">
        <f>IF(K186="","",COUNTIFS($K$12:K186,K186))</f>
        <v/>
      </c>
      <c r="P186" s="93">
        <f>IF(K186="","",K186&amp;"|"&amp;O186)</f>
        <v/>
      </c>
    </row>
    <row r="187" ht="15" customHeight="1" s="134">
      <c r="K187" s="89" t="inlineStr">
        <is>
          <t>115年01月</t>
        </is>
      </c>
      <c r="L187" s="90" t="inlineStr">
        <is>
          <t>醫療費</t>
        </is>
      </c>
      <c r="M187" s="275" t="n">
        <v>300</v>
      </c>
      <c r="N187" s="92" t="inlineStr">
        <is>
          <t>1150115(寧)</t>
        </is>
      </c>
      <c r="O187" s="274">
        <f>IF(K187="","",COUNTIFS($K$12:K187,K187))</f>
        <v/>
      </c>
      <c r="P187" s="93">
        <f>IF(K187="","",K187&amp;"|"&amp;O187)</f>
        <v/>
      </c>
    </row>
    <row r="188" ht="15" customHeight="1" s="134">
      <c r="K188" s="89" t="inlineStr">
        <is>
          <t>115年01月</t>
        </is>
      </c>
      <c r="L188" s="90" t="inlineStr">
        <is>
          <t>教育費</t>
        </is>
      </c>
      <c r="M188" s="275" t="n">
        <v>9980</v>
      </c>
      <c r="N188" s="92" t="inlineStr">
        <is>
          <t>11502科學班(寧)郵局</t>
        </is>
      </c>
      <c r="O188" s="274">
        <f>IF(K188="","",COUNTIFS($K$12:K188,K188))</f>
        <v/>
      </c>
      <c r="P188" s="93">
        <f>IF(K188="","",K188&amp;"|"&amp;O188)</f>
        <v/>
      </c>
    </row>
    <row r="189" ht="15" customHeight="1" s="134">
      <c r="K189" s="89" t="inlineStr">
        <is>
          <t>115年01月</t>
        </is>
      </c>
      <c r="L189" s="90" t="inlineStr">
        <is>
          <t>醫療費</t>
        </is>
      </c>
      <c r="M189" s="275" t="n">
        <v>650</v>
      </c>
      <c r="N189" s="92" t="inlineStr">
        <is>
          <t>1150117(寧)</t>
        </is>
      </c>
      <c r="O189" s="274">
        <f>IF(K189="","",COUNTIFS($K$12:K189,K189))</f>
        <v/>
      </c>
      <c r="P189" s="93">
        <f>IF(K189="","",K189&amp;"|"&amp;O189)</f>
        <v/>
      </c>
    </row>
    <row r="190" ht="15" customHeight="1" s="134">
      <c r="K190" s="89" t="inlineStr">
        <is>
          <t>115年01月</t>
        </is>
      </c>
      <c r="L190" s="90" t="inlineStr">
        <is>
          <t>教育費</t>
        </is>
      </c>
      <c r="M190" s="275" t="n">
        <v>2100</v>
      </c>
      <c r="N190" s="92" t="inlineStr">
        <is>
          <t>11502英文課(寧)郵局</t>
        </is>
      </c>
      <c r="O190" s="274">
        <f>IF(K190="","",COUNTIFS($K$12:K190,K190))</f>
        <v/>
      </c>
      <c r="P190" s="93">
        <f>IF(K190="","",K190&amp;"|"&amp;O190)</f>
        <v/>
      </c>
    </row>
    <row r="191" ht="15" customHeight="1" s="134">
      <c r="K191" s="89" t="inlineStr">
        <is>
          <t>115年02月</t>
        </is>
      </c>
      <c r="L191" s="90" t="inlineStr">
        <is>
          <t>教育費</t>
        </is>
      </c>
      <c r="M191" s="275" t="n">
        <v>1365</v>
      </c>
      <c r="N191" s="92" t="inlineStr">
        <is>
          <t>11502準公共(維)第一</t>
        </is>
      </c>
      <c r="O191" s="274">
        <f>IF(K191="","",COUNTIFS($K$12:K191,K191))</f>
        <v/>
      </c>
      <c r="P191" s="93">
        <f>IF(K191="","",K191&amp;"|"&amp;O191)</f>
        <v/>
      </c>
    </row>
    <row r="192" ht="15" customHeight="1" s="134">
      <c r="K192" s="89" t="inlineStr">
        <is>
          <t>115年02月</t>
        </is>
      </c>
      <c r="L192" s="90" t="inlineStr">
        <is>
          <t>教育費</t>
        </is>
      </c>
      <c r="M192" s="275" t="n">
        <v>1800</v>
      </c>
      <c r="N192" s="92" t="inlineStr">
        <is>
          <t>11502英文課教材(寧)郵局</t>
        </is>
      </c>
      <c r="O192" s="274">
        <f>IF(K192="","",COUNTIFS($K$12:K192,K192))</f>
        <v/>
      </c>
      <c r="P192" s="93">
        <f>IF(K192="","",K192&amp;"|"&amp;O192)</f>
        <v/>
      </c>
    </row>
    <row r="193" ht="15" customHeight="1" s="134">
      <c r="K193" s="89" t="inlineStr">
        <is>
          <t>115年03月</t>
        </is>
      </c>
      <c r="L193" s="90" t="inlineStr">
        <is>
          <t>教育費</t>
        </is>
      </c>
      <c r="M193" s="275" t="n">
        <v>2000</v>
      </c>
      <c r="N193" s="92" t="inlineStr">
        <is>
          <t>11503準公共(維)第一</t>
        </is>
      </c>
      <c r="O193" s="274">
        <f>IF(K193="","",COUNTIFS($K$12:K193,K193))</f>
        <v/>
      </c>
      <c r="P193" s="93">
        <f>IF(K193="","",K193&amp;"|"&amp;O193)</f>
        <v/>
      </c>
    </row>
    <row r="194" ht="15" customHeight="1" s="134">
      <c r="K194" s="89" t="inlineStr">
        <is>
          <t>115年03月</t>
        </is>
      </c>
      <c r="L194" s="90" t="inlineStr">
        <is>
          <t>保險費</t>
        </is>
      </c>
      <c r="M194" s="275" t="n">
        <v>12588</v>
      </c>
      <c r="N194" s="94" t="inlineStr">
        <is>
          <t>全球人壽(維)</t>
        </is>
      </c>
      <c r="O194" s="274">
        <f>IF(K194="","",COUNTIFS($K$12:K194,K194))</f>
        <v/>
      </c>
      <c r="P194" s="93">
        <f>IF(K194="","",K194&amp;"|"&amp;O194)</f>
        <v/>
      </c>
    </row>
    <row r="195" ht="15" customHeight="1" s="134">
      <c r="K195" s="89" t="inlineStr">
        <is>
          <t>115年03月</t>
        </is>
      </c>
      <c r="L195" s="90" t="inlineStr">
        <is>
          <t>醫療費</t>
        </is>
      </c>
      <c r="M195" s="275" t="n">
        <v>200</v>
      </c>
      <c r="N195" s="92" t="inlineStr">
        <is>
          <t>1150319(維)</t>
        </is>
      </c>
      <c r="O195" s="274">
        <f>IF(K195="","",COUNTIFS($K$12:K195,K195))</f>
        <v/>
      </c>
      <c r="P195" s="93">
        <f>IF(K195="","",K195&amp;"|"&amp;O195)</f>
        <v/>
      </c>
    </row>
    <row r="196" ht="15" customHeight="1" s="134">
      <c r="K196" s="89" t="inlineStr">
        <is>
          <t>115年03月</t>
        </is>
      </c>
      <c r="L196" s="90" t="inlineStr">
        <is>
          <t>教育費</t>
        </is>
      </c>
      <c r="M196" s="275" t="n">
        <v>9150</v>
      </c>
      <c r="N196" s="92" t="inlineStr">
        <is>
          <t>11503安親班(寧)郵局</t>
        </is>
      </c>
      <c r="O196" s="274">
        <f>IF(K196="","",COUNTIFS($K$12:K196,K196))</f>
        <v/>
      </c>
      <c r="P196" s="93">
        <f>IF(K196="","",K196&amp;"|"&amp;O196)</f>
        <v/>
      </c>
    </row>
    <row r="197" ht="15" customHeight="1" s="134">
      <c r="K197" s="89" t="inlineStr">
        <is>
          <t>115年03月</t>
        </is>
      </c>
      <c r="L197" s="90" t="inlineStr">
        <is>
          <t>保險費</t>
        </is>
      </c>
      <c r="M197" s="275" t="n">
        <v>1614</v>
      </c>
      <c r="N197" s="94" t="inlineStr">
        <is>
          <t>新安產險(維)</t>
        </is>
      </c>
      <c r="O197" s="274">
        <f>IF(K197="","",COUNTIFS($K$12:K197,K197))</f>
        <v/>
      </c>
      <c r="P197" s="93">
        <f>IF(K197="","",K197&amp;"|"&amp;O197)</f>
        <v/>
      </c>
    </row>
    <row r="198" ht="15" customHeight="1" s="134">
      <c r="K198" s="89" t="inlineStr">
        <is>
          <t>115年03月</t>
        </is>
      </c>
      <c r="L198" s="90" t="inlineStr">
        <is>
          <t>醫療費</t>
        </is>
      </c>
      <c r="M198" s="275" t="n">
        <v>200</v>
      </c>
      <c r="N198" s="92" t="inlineStr">
        <is>
          <t>1150322(維)</t>
        </is>
      </c>
      <c r="O198" s="274">
        <f>IF(K198="","",COUNTIFS($K$12:K198,K198))</f>
        <v/>
      </c>
      <c r="P198" s="93">
        <f>IF(K198="","",K198&amp;"|"&amp;O198)</f>
        <v/>
      </c>
    </row>
    <row r="199" ht="15" customHeight="1" s="134">
      <c r="K199" s="89" t="inlineStr">
        <is>
          <t>115年03月</t>
        </is>
      </c>
      <c r="L199" s="90" t="inlineStr">
        <is>
          <t>教育費</t>
        </is>
      </c>
      <c r="M199" s="275" t="n">
        <v>150</v>
      </c>
      <c r="N199" s="92" t="inlineStr">
        <is>
          <t>115國小補充教材(寧)現金</t>
        </is>
      </c>
      <c r="O199" s="274">
        <f>IF(K199="","",COUNTIFS($K$12:K199,K199))</f>
        <v/>
      </c>
      <c r="P199" s="93">
        <f>IF(K199="","",K199&amp;"|"&amp;O199)</f>
        <v/>
      </c>
    </row>
    <row r="200" ht="15" customHeight="1" s="134">
      <c r="K200" s="89" t="inlineStr">
        <is>
          <t>115年03月</t>
        </is>
      </c>
      <c r="L200" s="90" t="inlineStr">
        <is>
          <t>保險費</t>
        </is>
      </c>
      <c r="M200" s="275" t="n">
        <v>8427</v>
      </c>
      <c r="N200" s="94" t="inlineStr">
        <is>
          <t>台灣人壽(維)</t>
        </is>
      </c>
      <c r="O200" s="274">
        <f>IF(K200="","",COUNTIFS($K$12:K200,K200))</f>
        <v/>
      </c>
      <c r="P200" s="93">
        <f>IF(K200="","",K200&amp;"|"&amp;O200)</f>
        <v/>
      </c>
    </row>
    <row r="201" ht="15" customHeight="1" s="134">
      <c r="K201" s="89" t="inlineStr">
        <is>
          <t>115年03月</t>
        </is>
      </c>
      <c r="L201" s="90" t="inlineStr">
        <is>
          <t>醫療費</t>
        </is>
      </c>
      <c r="M201" s="275" t="n">
        <v>200</v>
      </c>
      <c r="N201" s="92" t="inlineStr">
        <is>
          <t>1150330(寧)</t>
        </is>
      </c>
      <c r="O201" s="274">
        <f>IF(K201="","",COUNTIFS($K$12:K201,K201))</f>
        <v/>
      </c>
      <c r="P201" s="93">
        <f>IF(K201="","",K201&amp;"|"&amp;O201)</f>
        <v/>
      </c>
    </row>
    <row r="202" ht="15" customHeight="1" s="134">
      <c r="K202" s="89" t="inlineStr">
        <is>
          <t>115年03月</t>
        </is>
      </c>
      <c r="L202" s="90" t="inlineStr">
        <is>
          <t>教育費</t>
        </is>
      </c>
      <c r="M202" s="275" t="n">
        <v>840</v>
      </c>
      <c r="N202" s="92" t="inlineStr">
        <is>
          <t>11503羊奶費(寧)現金</t>
        </is>
      </c>
      <c r="O202" s="274">
        <f>IF(K202="","",COUNTIFS($K$12:K202,K202))</f>
        <v/>
      </c>
      <c r="P202" s="93">
        <f>IF(K202="","",K202&amp;"|"&amp;O202)</f>
        <v/>
      </c>
    </row>
    <row r="203" ht="15" customHeight="1" s="134">
      <c r="K203" s="89" t="inlineStr">
        <is>
          <t>115年03月</t>
        </is>
      </c>
      <c r="L203" s="90" t="inlineStr">
        <is>
          <t>教育費</t>
        </is>
      </c>
      <c r="M203" s="275" t="n">
        <v>5809</v>
      </c>
      <c r="N203" s="92" t="inlineStr">
        <is>
          <t>114年度第2學期國小學雜費(寧)第一</t>
        </is>
      </c>
      <c r="O203" s="274">
        <f>IF(K203="","",COUNTIFS($K$12:K203,K203))</f>
        <v/>
      </c>
      <c r="P203" s="93">
        <f>IF(K203="","",K203&amp;"|"&amp;O203)</f>
        <v/>
      </c>
    </row>
    <row r="204" ht="15" customHeight="1" s="134">
      <c r="K204" s="89" t="inlineStr">
        <is>
          <t>115年03月</t>
        </is>
      </c>
      <c r="L204" s="90" t="inlineStr">
        <is>
          <t>教育費</t>
        </is>
      </c>
      <c r="M204" s="275" t="n">
        <v>455</v>
      </c>
      <c r="N204" s="92" t="inlineStr">
        <is>
          <t>114年度第2學期國小合作社費(寧)第一</t>
        </is>
      </c>
      <c r="O204" s="274">
        <f>IF(K204="","",COUNTIFS($K$12:K204,K204))</f>
        <v/>
      </c>
      <c r="P204" s="93">
        <f>IF(K204="","",K204&amp;"|"&amp;O204)</f>
        <v/>
      </c>
    </row>
    <row r="205" ht="15" customHeight="1" s="134">
      <c r="K205" s="89" t="inlineStr">
        <is>
          <t>115年04月</t>
        </is>
      </c>
      <c r="L205" s="90" t="inlineStr">
        <is>
          <t>教育費</t>
        </is>
      </c>
      <c r="M205" s="275" t="n">
        <v>2000</v>
      </c>
      <c r="N205" s="92" t="inlineStr">
        <is>
          <t>11504準公共(維)第一</t>
        </is>
      </c>
      <c r="O205" s="274">
        <f>IF(K205="","",COUNTIFS($K$12:K205,K205))</f>
        <v/>
      </c>
      <c r="P205" s="93">
        <f>IF(K205="","",K205&amp;"|"&amp;O205)</f>
        <v/>
      </c>
    </row>
    <row r="206" ht="15" customHeight="1" s="134">
      <c r="K206" s="89" t="inlineStr">
        <is>
          <t>115年04月</t>
        </is>
      </c>
      <c r="L206" s="90" t="inlineStr">
        <is>
          <t>醫療費</t>
        </is>
      </c>
      <c r="M206" s="275" t="n">
        <v>650</v>
      </c>
      <c r="N206" s="92" t="inlineStr">
        <is>
          <t>1150416(寧)</t>
        </is>
      </c>
      <c r="O206" s="274">
        <f>IF(K206="","",COUNTIFS($K$12:K206,K206))</f>
        <v/>
      </c>
      <c r="P206" s="93">
        <f>IF(K206="","",K206&amp;"|"&amp;O206)</f>
        <v/>
      </c>
    </row>
    <row r="207" ht="15" customHeight="1" s="134">
      <c r="K207" s="89" t="inlineStr">
        <is>
          <t>115年04月</t>
        </is>
      </c>
      <c r="L207" s="90" t="inlineStr">
        <is>
          <t>教育費</t>
        </is>
      </c>
      <c r="M207" s="275" t="n">
        <v>8800</v>
      </c>
      <c r="N207" s="92" t="inlineStr">
        <is>
          <t>11504安親班(寧)郵局</t>
        </is>
      </c>
      <c r="O207" s="274">
        <f>IF(K207="","",COUNTIFS($K$12:K207,K207))</f>
        <v/>
      </c>
      <c r="P207" s="93">
        <f>IF(K207="","",K207&amp;"|"&amp;O207)</f>
        <v/>
      </c>
    </row>
    <row r="208" ht="15" customHeight="1" s="134">
      <c r="K208" s="89" t="inlineStr">
        <is>
          <t>115年04月</t>
        </is>
      </c>
      <c r="L208" s="90" t="inlineStr">
        <is>
          <t>醫療費</t>
        </is>
      </c>
      <c r="M208" s="275" t="n">
        <v>150</v>
      </c>
      <c r="N208" s="92" t="inlineStr">
        <is>
          <t>1150417(維)</t>
        </is>
      </c>
      <c r="O208" s="274">
        <f>IF(K208="","",COUNTIFS($K$12:K208,K208))</f>
        <v/>
      </c>
      <c r="P208" s="93">
        <f>IF(K208="","",K208&amp;"|"&amp;O208)</f>
        <v/>
      </c>
    </row>
    <row r="209" ht="15" customHeight="1" s="134">
      <c r="K209" s="89" t="inlineStr">
        <is>
          <t>115年04月</t>
        </is>
      </c>
      <c r="L209" s="90" t="inlineStr">
        <is>
          <t>醫療費</t>
        </is>
      </c>
      <c r="M209" s="275" t="n">
        <v>250</v>
      </c>
      <c r="N209" s="92" t="inlineStr">
        <is>
          <t>1150425(維)</t>
        </is>
      </c>
      <c r="O209" s="274">
        <f>IF(K209="","",COUNTIFS($K$12:K209,K209))</f>
        <v/>
      </c>
      <c r="P209" s="93">
        <f>IF(K209="","",K209&amp;"|"&amp;O209)</f>
        <v/>
      </c>
    </row>
    <row r="210" ht="15" customHeight="1" s="134">
      <c r="K210" s="89" t="inlineStr">
        <is>
          <t>115年05月</t>
        </is>
      </c>
      <c r="L210" s="90" t="inlineStr">
        <is>
          <t>教育費</t>
        </is>
      </c>
      <c r="M210" s="275" t="n">
        <v>2000</v>
      </c>
      <c r="N210" s="92" t="inlineStr">
        <is>
          <t>11505準公共(維)第一</t>
        </is>
      </c>
      <c r="O210" s="274">
        <f>IF(K210="","",COUNTIFS($K$12:K210,K210))</f>
        <v/>
      </c>
      <c r="P210" s="93">
        <f>IF(K210="","",K210&amp;"|"&amp;O210)</f>
        <v/>
      </c>
    </row>
    <row r="211" ht="15" customHeight="1" s="134">
      <c r="K211" s="89" t="inlineStr">
        <is>
          <t>115年05月</t>
        </is>
      </c>
      <c r="L211" s="90" t="inlineStr">
        <is>
          <t>醫療費</t>
        </is>
      </c>
      <c r="M211" s="275" t="n">
        <v>150</v>
      </c>
      <c r="N211" s="92" t="inlineStr">
        <is>
          <t>1150520(維)</t>
        </is>
      </c>
      <c r="O211" s="274">
        <f>IF(K211="","",COUNTIFS($K$12:K211,K211))</f>
        <v/>
      </c>
      <c r="P211" s="93">
        <f>IF(K211="","",K211&amp;"|"&amp;O211)</f>
        <v/>
      </c>
    </row>
    <row r="212" ht="15" customHeight="1" s="134">
      <c r="K212" s="89" t="inlineStr">
        <is>
          <t>115年05月</t>
        </is>
      </c>
      <c r="L212" s="90" t="inlineStr">
        <is>
          <t>教育費</t>
        </is>
      </c>
      <c r="M212" s="275" t="n">
        <v>8800</v>
      </c>
      <c r="N212" s="92" t="inlineStr">
        <is>
          <t>11505安親班(寧)郵局</t>
        </is>
      </c>
      <c r="O212" s="274">
        <f>IF(K212="","",COUNTIFS($K$12:K212,K212))</f>
        <v/>
      </c>
      <c r="P212" s="93">
        <f>IF(K212="","",K212&amp;"|"&amp;O212)</f>
        <v/>
      </c>
    </row>
    <row r="213" ht="15" customHeight="1" s="134">
      <c r="K213" s="89" t="inlineStr">
        <is>
          <t>115年06月</t>
        </is>
      </c>
      <c r="L213" s="90" t="inlineStr">
        <is>
          <t>教育費</t>
        </is>
      </c>
      <c r="M213" s="275" t="n">
        <v>2000</v>
      </c>
      <c r="N213" s="92" t="inlineStr">
        <is>
          <t>11506準公共(維)第一</t>
        </is>
      </c>
      <c r="O213" s="274">
        <f>IF(K213="","",COUNTIFS($K$12:K213,K213))</f>
        <v/>
      </c>
      <c r="P213" s="93">
        <f>IF(K213="","",K213&amp;"|"&amp;O213)</f>
        <v/>
      </c>
    </row>
    <row r="214" ht="15" customHeight="1" s="134">
      <c r="K214" s="89" t="inlineStr">
        <is>
          <t>115年06月</t>
        </is>
      </c>
      <c r="L214" s="90" t="inlineStr">
        <is>
          <t>醫療費</t>
        </is>
      </c>
      <c r="M214" s="275" t="n">
        <v>650</v>
      </c>
      <c r="N214" s="92" t="inlineStr">
        <is>
          <t>1150606(寧)</t>
        </is>
      </c>
      <c r="O214" s="274">
        <f>IF(K214="","",COUNTIFS($K$12:K214,K214))</f>
        <v/>
      </c>
      <c r="P214" s="93">
        <f>IF(K214="","",K214&amp;"|"&amp;O214)</f>
        <v/>
      </c>
    </row>
    <row r="215" ht="15" customHeight="1" s="134">
      <c r="K215" s="89" t="inlineStr">
        <is>
          <t>115年06月</t>
        </is>
      </c>
      <c r="L215" s="90" t="inlineStr">
        <is>
          <t>教育費</t>
        </is>
      </c>
      <c r="M215" s="275" t="n">
        <v>11150</v>
      </c>
      <c r="N215" s="92" t="inlineStr">
        <is>
          <t>11506安親班(寧)郵局</t>
        </is>
      </c>
      <c r="O215" s="274">
        <f>IF(K215="","",COUNTIFS($K$12:K215,K215))</f>
        <v/>
      </c>
      <c r="P215" s="93">
        <f>IF(K215="","",K215&amp;"|"&amp;O215)</f>
        <v/>
      </c>
    </row>
    <row r="216" ht="15" customHeight="1" s="134">
      <c r="K216" s="89" t="inlineStr">
        <is>
          <t>115年06月</t>
        </is>
      </c>
      <c r="L216" s="90" t="inlineStr">
        <is>
          <t>醫療費</t>
        </is>
      </c>
      <c r="M216" s="275" t="n">
        <v>200</v>
      </c>
      <c r="N216" s="92" t="inlineStr">
        <is>
          <t>1150610(維)</t>
        </is>
      </c>
      <c r="O216" s="274">
        <f>IF(K216="","",COUNTIFS($K$12:K216,K216))</f>
        <v/>
      </c>
      <c r="P216" s="93">
        <f>IF(K216="","",K216&amp;"|"&amp;O216)</f>
        <v/>
      </c>
    </row>
    <row r="217" ht="15" customHeight="1" s="134">
      <c r="K217" s="89" t="inlineStr">
        <is>
          <t>115年06月</t>
        </is>
      </c>
      <c r="L217" s="90" t="inlineStr">
        <is>
          <t>教育費</t>
        </is>
      </c>
      <c r="M217" s="275" t="n">
        <v>17100</v>
      </c>
      <c r="N217" s="92" t="inlineStr">
        <is>
          <t>115年下學期註冊費(維)第一</t>
        </is>
      </c>
      <c r="O217" s="274">
        <f>IF(K217="","",COUNTIFS($K$12:K217,K217))</f>
        <v/>
      </c>
      <c r="P217" s="93">
        <f>IF(K217="","",K217&amp;"|"&amp;O217)</f>
        <v/>
      </c>
    </row>
    <row r="218" ht="15" customHeight="1" s="134">
      <c r="K218" s="89" t="inlineStr">
        <is>
          <t>115年06月</t>
        </is>
      </c>
      <c r="L218" s="90" t="inlineStr">
        <is>
          <t>醫療費</t>
        </is>
      </c>
      <c r="M218" s="275" t="n">
        <v>200</v>
      </c>
      <c r="N218" s="92" t="inlineStr">
        <is>
          <t>1150613(寧)</t>
        </is>
      </c>
      <c r="O218" s="274">
        <f>IF(K218="","",COUNTIFS($K$12:K218,K218))</f>
        <v/>
      </c>
      <c r="P218" s="93">
        <f>IF(K218="","",K218&amp;"|"&amp;O218)</f>
        <v/>
      </c>
    </row>
    <row r="219" ht="15" customHeight="1" s="134">
      <c r="K219" s="89" t="inlineStr">
        <is>
          <t>115年06月</t>
        </is>
      </c>
      <c r="L219" s="90" t="inlineStr">
        <is>
          <t>醫療費</t>
        </is>
      </c>
      <c r="M219" s="275" t="n">
        <v>220</v>
      </c>
      <c r="N219" s="92" t="inlineStr">
        <is>
          <t>1150625(寧)</t>
        </is>
      </c>
      <c r="O219" s="274">
        <f>IF(K219="","",COUNTIFS($K$12:K219,K219))</f>
        <v/>
      </c>
      <c r="P219" s="93">
        <f>IF(K219="","",K219&amp;"|"&amp;O219)</f>
        <v/>
      </c>
    </row>
    <row r="220" ht="15" customHeight="1" s="134">
      <c r="K220" s="89" t="inlineStr">
        <is>
          <t>115年07月</t>
        </is>
      </c>
      <c r="L220" s="90" t="inlineStr">
        <is>
          <t>教育費</t>
        </is>
      </c>
      <c r="M220" s="275" t="n">
        <v>2000</v>
      </c>
      <c r="N220" s="92" t="inlineStr">
        <is>
          <t>11507準公共(維)第一</t>
        </is>
      </c>
      <c r="O220" s="274">
        <f>IF(K220="","",COUNTIFS($K$12:K220,K220))</f>
        <v/>
      </c>
      <c r="P220" s="93">
        <f>IF(K220="","",K220&amp;"|"&amp;O220)</f>
        <v/>
      </c>
    </row>
    <row r="221" ht="15" customHeight="1" s="134">
      <c r="K221" s="89" t="inlineStr">
        <is>
          <t>115年07月</t>
        </is>
      </c>
      <c r="L221" s="90" t="inlineStr">
        <is>
          <t>保險費</t>
        </is>
      </c>
      <c r="M221" s="275" t="n">
        <v>1614</v>
      </c>
      <c r="N221" s="94" t="inlineStr">
        <is>
          <t>新安產險(寧)1150703</t>
        </is>
      </c>
      <c r="O221" s="274">
        <f>IF(K221="","",COUNTIFS($K$12:K221,K221))</f>
        <v/>
      </c>
      <c r="P221" s="93">
        <f>IF(K221="","",K221&amp;"|"&amp;O221)</f>
        <v/>
      </c>
    </row>
    <row r="222" ht="15" customHeight="1" s="134">
      <c r="K222" s="89" t="inlineStr">
        <is>
          <t>115年07月</t>
        </is>
      </c>
      <c r="L222" s="90" t="inlineStr">
        <is>
          <t>醫療費</t>
        </is>
      </c>
      <c r="M222" s="275" t="n">
        <v>200</v>
      </c>
      <c r="N222" s="92" t="inlineStr">
        <is>
          <t>1150709(寧)</t>
        </is>
      </c>
      <c r="O222" s="274">
        <f>IF(K222="","",COUNTIFS($K$12:K222,K222))</f>
        <v/>
      </c>
      <c r="P222" s="93">
        <f>IF(K222="","",K222&amp;"|"&amp;O222)</f>
        <v/>
      </c>
    </row>
    <row r="223" ht="15" customHeight="1" s="134">
      <c r="K223" s="89" t="inlineStr">
        <is>
          <t>115年07月</t>
        </is>
      </c>
      <c r="L223" s="90" t="inlineStr">
        <is>
          <t>教育費</t>
        </is>
      </c>
      <c r="M223" s="275" t="n">
        <v>17130</v>
      </c>
      <c r="N223" s="92" t="inlineStr">
        <is>
          <t>11507安親班(寧)郵局</t>
        </is>
      </c>
      <c r="O223" s="274">
        <f>IF(K223="","",COUNTIFS($K$12:K223,K223))</f>
        <v/>
      </c>
      <c r="P223" s="93">
        <f>IF(K223="","",K223&amp;"|"&amp;O223)</f>
        <v/>
      </c>
    </row>
    <row r="224" ht="15" customHeight="1" s="134">
      <c r="K224" s="89" t="inlineStr">
        <is>
          <t>115年07月</t>
        </is>
      </c>
      <c r="L224" s="90" t="inlineStr">
        <is>
          <t>保險費</t>
        </is>
      </c>
      <c r="M224" s="275" t="n">
        <v>6592</v>
      </c>
      <c r="N224" s="94" t="inlineStr">
        <is>
          <t>台灣人壽(寧)1150723</t>
        </is>
      </c>
      <c r="O224" s="274">
        <f>IF(K224="","",COUNTIFS($K$12:K224,K224))</f>
        <v/>
      </c>
      <c r="P224" s="93">
        <f>IF(K224="","",K224&amp;"|"&amp;O224)</f>
        <v/>
      </c>
    </row>
    <row r="225" ht="15" customHeight="1" s="134">
      <c r="K225" s="89" t="inlineStr">
        <is>
          <t>115年07月</t>
        </is>
      </c>
      <c r="L225" s="90" t="inlineStr">
        <is>
          <t>醫療費</t>
        </is>
      </c>
      <c r="M225" s="275" t="n">
        <v>200</v>
      </c>
      <c r="N225" s="92" t="inlineStr">
        <is>
          <t>1150721(維)</t>
        </is>
      </c>
      <c r="O225" s="274">
        <f>IF(K225="","",COUNTIFS($K$12:K225,K225))</f>
        <v/>
      </c>
      <c r="P225" s="93">
        <f>IF(K225="","",K225&amp;"|"&amp;O225)</f>
        <v/>
      </c>
    </row>
    <row r="226" ht="15" customHeight="1" s="134">
      <c r="K226" s="89" t="inlineStr">
        <is>
          <t>115年07月</t>
        </is>
      </c>
      <c r="L226" s="90" t="inlineStr">
        <is>
          <t>保險費</t>
        </is>
      </c>
      <c r="M226" s="275" t="n">
        <v>12848</v>
      </c>
      <c r="N226" s="94" t="inlineStr">
        <is>
          <t>全球人壽(寧)1150715</t>
        </is>
      </c>
      <c r="O226" s="274">
        <f>IF(K226="","",COUNTIFS($K$12:K226,K226))</f>
        <v/>
      </c>
      <c r="P226" s="93">
        <f>IF(K226="","",K226&amp;"|"&amp;O226)</f>
        <v/>
      </c>
    </row>
    <row r="227" ht="15" customHeight="1" s="134">
      <c r="K227" s="89" t="inlineStr">
        <is>
          <t>115年08月</t>
        </is>
      </c>
      <c r="L227" s="90" t="inlineStr">
        <is>
          <t>教育費</t>
        </is>
      </c>
      <c r="M227" s="275" t="n">
        <v>2000</v>
      </c>
      <c r="N227" s="92" t="inlineStr">
        <is>
          <t>11508準公共(維)第一</t>
        </is>
      </c>
      <c r="O227" s="274">
        <f>IF(K227="","",COUNTIFS($K$12:K227,K227))</f>
        <v/>
      </c>
      <c r="P227" s="93">
        <f>IF(K227="","",K227&amp;"|"&amp;O227)</f>
        <v/>
      </c>
    </row>
    <row r="228" ht="15" customHeight="1" s="134">
      <c r="K228" s="89" t="inlineStr">
        <is>
          <t>115年08月</t>
        </is>
      </c>
      <c r="L228" s="90" t="inlineStr">
        <is>
          <t>教育費</t>
        </is>
      </c>
      <c r="M228" s="275" t="n">
        <v>17130</v>
      </c>
      <c r="N228" s="92" t="inlineStr">
        <is>
          <t>11508安親班(寧)郵局</t>
        </is>
      </c>
      <c r="O228" s="274">
        <f>IF(K228="","",COUNTIFS($K$12:K228,K228))</f>
        <v/>
      </c>
      <c r="P228" s="93">
        <f>IF(K228="","",K228&amp;"|"&amp;O228)</f>
        <v/>
      </c>
    </row>
    <row r="229" ht="15" customHeight="1" s="134">
      <c r="K229" s="89" t="inlineStr">
        <is>
          <t>115年08月</t>
        </is>
      </c>
      <c r="L229" s="90" t="inlineStr">
        <is>
          <t>教育費</t>
        </is>
      </c>
      <c r="M229" s="275" t="n">
        <v>1730</v>
      </c>
      <c r="N229" s="94" t="inlineStr">
        <is>
          <t>潘寧國小制服、運動服</t>
        </is>
      </c>
      <c r="O229" s="274">
        <f>IF(K229="","",COUNTIFS($K$12:K229,K229))</f>
        <v/>
      </c>
      <c r="P229" s="93">
        <f>IF(K229="","",K229&amp;"|"&amp;O229)</f>
        <v/>
      </c>
    </row>
    <row r="230" ht="15" customHeight="1" s="134">
      <c r="K230" s="89" t="inlineStr">
        <is>
          <t>115年09月</t>
        </is>
      </c>
      <c r="L230" s="90" t="inlineStr">
        <is>
          <t>教育費</t>
        </is>
      </c>
      <c r="M230" s="275" t="n">
        <v>2266</v>
      </c>
      <c r="N230" s="92" t="inlineStr">
        <is>
          <t>11509準公共(維)第一</t>
        </is>
      </c>
      <c r="O230" s="274">
        <f>IF(K230="","",COUNTIFS($K$12:K230,K230))</f>
        <v/>
      </c>
      <c r="P230" s="93">
        <f>IF(K230="","",K230&amp;"|"&amp;O230)</f>
        <v/>
      </c>
    </row>
    <row r="231" ht="15" customHeight="1" s="134">
      <c r="K231" s="89" t="inlineStr">
        <is>
          <t>115年09月</t>
        </is>
      </c>
      <c r="L231" s="90" t="inlineStr">
        <is>
          <t>教育費</t>
        </is>
      </c>
      <c r="M231" s="275" t="n">
        <v>9150</v>
      </c>
      <c r="N231" s="92" t="inlineStr">
        <is>
          <t>11509安親班(寧)郵局</t>
        </is>
      </c>
      <c r="O231" s="274">
        <f>IF(K231="","",COUNTIFS($K$12:K231,K231))</f>
        <v/>
      </c>
      <c r="P231" s="93">
        <f>IF(K231="","",K231&amp;"|"&amp;O231)</f>
        <v/>
      </c>
    </row>
    <row r="232" ht="15" customHeight="1" s="134">
      <c r="K232" s="89" t="inlineStr">
        <is>
          <t>115年09月</t>
        </is>
      </c>
      <c r="L232" s="90" t="inlineStr">
        <is>
          <t>教育費</t>
        </is>
      </c>
      <c r="M232" s="275" t="n">
        <v>150</v>
      </c>
      <c r="N232" s="92" t="inlineStr">
        <is>
          <t>11509潘寧國小教材費(現金)</t>
        </is>
      </c>
      <c r="O232" s="274">
        <f>IF(K232="","",COUNTIFS($K$12:K232,K232))</f>
        <v/>
      </c>
      <c r="P232" s="93">
        <f>IF(K232="","",K232&amp;"|"&amp;O232)</f>
        <v/>
      </c>
    </row>
    <row r="233" ht="15" customHeight="1" s="134">
      <c r="K233" s="89" t="inlineStr">
        <is>
          <t>115年09月</t>
        </is>
      </c>
      <c r="L233" s="90" t="inlineStr">
        <is>
          <t>教育費</t>
        </is>
      </c>
      <c r="M233" s="275" t="n">
        <v>176</v>
      </c>
      <c r="N233" s="92" t="inlineStr">
        <is>
          <t>11509潘寧國小教材費(聯邦)</t>
        </is>
      </c>
      <c r="O233" s="274">
        <f>IF(K233="","",COUNTIFS($K$12:K233,K233))</f>
        <v/>
      </c>
      <c r="P233" s="93">
        <f>IF(K233="","",K233&amp;"|"&amp;O233)</f>
        <v/>
      </c>
    </row>
    <row r="234" ht="15" customHeight="1" s="134">
      <c r="K234" s="96" t="inlineStr">
        <is>
          <t>115年09月</t>
        </is>
      </c>
      <c r="L234" s="96" t="inlineStr">
        <is>
          <t>教育費</t>
        </is>
      </c>
      <c r="M234" s="276" t="n">
        <v>2036</v>
      </c>
      <c r="N234" s="98" t="inlineStr">
        <is>
          <t>11509潘寧國小學雜費(第一)</t>
        </is>
      </c>
      <c r="O234" s="274">
        <f>IF(K234="","",COUNTIFS($K$12:K234,K234))</f>
        <v/>
      </c>
      <c r="P234" s="93">
        <f>IF(K234="","",K234&amp;"|"&amp;O234)</f>
        <v/>
      </c>
    </row>
    <row r="235" ht="15" customHeight="1" s="134">
      <c r="K235" s="96" t="inlineStr">
        <is>
          <t>115年09月</t>
        </is>
      </c>
      <c r="L235" s="96" t="inlineStr">
        <is>
          <t>教育費</t>
        </is>
      </c>
      <c r="M235" s="276" t="n">
        <v>600</v>
      </c>
      <c r="N235" s="132" t="inlineStr">
        <is>
          <t>11509潘寧國小合作社學雜費(第一)</t>
        </is>
      </c>
      <c r="O235" s="274">
        <f>IF(K235="","",COUNTIFS($K$12:K235,K235))</f>
        <v/>
      </c>
      <c r="P235" s="93">
        <f>IF(K235="","",K235&amp;"|"&amp;O235)</f>
        <v/>
      </c>
    </row>
    <row r="236" ht="15" customHeight="1" s="134">
      <c r="K236" s="96" t="n"/>
      <c r="L236" s="96" t="n"/>
      <c r="M236" s="218" t="n"/>
      <c r="N236" s="132" t="n"/>
      <c r="O236" s="274">
        <f>IF(K236="","",COUNTIFS($K$12:K236,K236))</f>
        <v/>
      </c>
      <c r="P236" s="93">
        <f>IF(K236="","",K236&amp;"|"&amp;O236)</f>
        <v/>
      </c>
    </row>
    <row r="237" ht="15" customHeight="1" s="134">
      <c r="K237" s="96" t="n"/>
      <c r="L237" s="96" t="n"/>
      <c r="M237" s="218" t="n"/>
      <c r="N237" s="132" t="n"/>
      <c r="O237" s="274">
        <f>IF(K237="","",COUNTIFS($K$12:K237,K237))</f>
        <v/>
      </c>
      <c r="P237" s="93">
        <f>IF(K237="","",K237&amp;"|"&amp;O237)</f>
        <v/>
      </c>
    </row>
    <row r="238" ht="15" customHeight="1" s="134">
      <c r="K238" s="96" t="n"/>
      <c r="L238" s="96" t="n"/>
      <c r="M238" s="218" t="n"/>
      <c r="N238" s="132" t="n"/>
      <c r="O238" s="274">
        <f>IF(K238="","",COUNTIFS($K$12:K238,K238))</f>
        <v/>
      </c>
      <c r="P238" s="93">
        <f>IF(K238="","",K238&amp;"|"&amp;O238)</f>
        <v/>
      </c>
    </row>
    <row r="239" ht="15" customHeight="1" s="134">
      <c r="K239" s="96" t="n"/>
      <c r="L239" s="96" t="n"/>
      <c r="M239" s="218" t="n"/>
      <c r="N239" s="132" t="n"/>
      <c r="O239" s="274">
        <f>IF(K239="","",COUNTIFS($K$12:K239,K239))</f>
        <v/>
      </c>
      <c r="P239" s="93">
        <f>IF(K239="","",K239&amp;"|"&amp;O239)</f>
        <v/>
      </c>
    </row>
    <row r="240" ht="15" customHeight="1" s="134">
      <c r="K240" s="96" t="n"/>
      <c r="L240" s="96" t="n"/>
      <c r="M240" s="218" t="n"/>
      <c r="N240" s="132" t="n"/>
      <c r="O240" s="274">
        <f>IF(K240="","",COUNTIFS($K$12:K240,K240))</f>
        <v/>
      </c>
      <c r="P240" s="93">
        <f>IF(K240="","",K240&amp;"|"&amp;O240)</f>
        <v/>
      </c>
    </row>
    <row r="241" ht="15" customHeight="1" s="134">
      <c r="K241" s="96" t="n"/>
      <c r="L241" s="96" t="n"/>
      <c r="M241" s="218" t="n"/>
      <c r="N241" s="132" t="n"/>
      <c r="O241" s="274">
        <f>IF(K241="","",COUNTIFS($K$12:K241,K241))</f>
        <v/>
      </c>
      <c r="P241" s="93">
        <f>IF(K241="","",K241&amp;"|"&amp;O241)</f>
        <v/>
      </c>
    </row>
    <row r="242" ht="15" customHeight="1" s="134">
      <c r="K242" s="96" t="n"/>
      <c r="L242" s="96" t="n"/>
      <c r="M242" s="218" t="n"/>
      <c r="N242" s="132" t="n"/>
      <c r="O242" s="274">
        <f>IF(K242="","",COUNTIFS($K$12:K242,K242))</f>
        <v/>
      </c>
      <c r="P242" s="93">
        <f>IF(K242="","",K242&amp;"|"&amp;O242)</f>
        <v/>
      </c>
    </row>
    <row r="243" ht="15" customHeight="1" s="134">
      <c r="K243" s="96" t="n"/>
      <c r="L243" s="96" t="n"/>
      <c r="M243" s="218" t="n"/>
      <c r="N243" s="132" t="n"/>
      <c r="O243" s="274">
        <f>IF(K243="","",COUNTIFS($K$12:K243,K243))</f>
        <v/>
      </c>
      <c r="P243" s="93">
        <f>IF(K243="","",K243&amp;"|"&amp;O243)</f>
        <v/>
      </c>
    </row>
    <row r="244" ht="15" customHeight="1" s="134">
      <c r="K244" s="96" t="n"/>
      <c r="L244" s="96" t="n"/>
      <c r="M244" s="218" t="n"/>
      <c r="N244" s="132" t="n"/>
      <c r="O244" s="274">
        <f>IF(K244="","",COUNTIFS($K$12:K244,K244))</f>
        <v/>
      </c>
      <c r="P244" s="93">
        <f>IF(K244="","",K244&amp;"|"&amp;O244)</f>
        <v/>
      </c>
    </row>
    <row r="245" ht="15" customHeight="1" s="134">
      <c r="K245" s="96" t="n"/>
      <c r="L245" s="96" t="n"/>
      <c r="M245" s="218" t="n"/>
      <c r="N245" s="132" t="n"/>
      <c r="O245" s="274">
        <f>IF(K245="","",COUNTIFS($K$12:K245,K245))</f>
        <v/>
      </c>
      <c r="P245" s="93">
        <f>IF(K245="","",K245&amp;"|"&amp;O245)</f>
        <v/>
      </c>
    </row>
    <row r="246" ht="15" customHeight="1" s="134">
      <c r="K246" s="96" t="n"/>
      <c r="L246" s="96" t="n"/>
      <c r="M246" s="218" t="n"/>
      <c r="N246" s="132" t="n"/>
      <c r="O246" s="274">
        <f>IF(K246="","",COUNTIFS($K$12:K246,K246))</f>
        <v/>
      </c>
      <c r="P246" s="93">
        <f>IF(K246="","",K246&amp;"|"&amp;O246)</f>
        <v/>
      </c>
    </row>
    <row r="247" ht="15" customHeight="1" s="134">
      <c r="K247" s="96" t="n"/>
      <c r="L247" s="96" t="n"/>
      <c r="M247" s="218" t="n"/>
      <c r="N247" s="132" t="n"/>
      <c r="O247" s="274">
        <f>IF(K247="","",COUNTIFS($K$12:K247,K247))</f>
        <v/>
      </c>
      <c r="P247" s="93">
        <f>IF(K247="","",K247&amp;"|"&amp;O247)</f>
        <v/>
      </c>
    </row>
    <row r="248" ht="15" customHeight="1" s="134">
      <c r="K248" s="96" t="n"/>
      <c r="L248" s="96" t="n"/>
      <c r="M248" s="218" t="n"/>
      <c r="N248" s="132" t="n"/>
      <c r="O248" s="274">
        <f>IF(K248="","",COUNTIFS($K$12:K248,K248))</f>
        <v/>
      </c>
      <c r="P248" s="93">
        <f>IF(K248="","",K248&amp;"|"&amp;O248)</f>
        <v/>
      </c>
    </row>
    <row r="249" ht="15" customHeight="1" s="134">
      <c r="K249" s="96" t="n"/>
      <c r="L249" s="96" t="n"/>
      <c r="M249" s="218" t="n"/>
      <c r="N249" s="132" t="n"/>
      <c r="O249" s="274">
        <f>IF(K249="","",COUNTIFS($K$12:K249,K249))</f>
        <v/>
      </c>
      <c r="P249" s="93">
        <f>IF(K249="","",K249&amp;"|"&amp;O249)</f>
        <v/>
      </c>
    </row>
    <row r="250" ht="15" customHeight="1" s="134">
      <c r="K250" s="96" t="n"/>
      <c r="L250" s="96" t="n"/>
      <c r="M250" s="218" t="n"/>
      <c r="N250" s="132" t="n"/>
      <c r="O250" s="274">
        <f>IF(K250="","",COUNTIFS($K$12:K250,K250))</f>
        <v/>
      </c>
      <c r="P250" s="93">
        <f>IF(K250="","",K250&amp;"|"&amp;O250)</f>
        <v/>
      </c>
    </row>
    <row r="251" ht="15" customHeight="1" s="134">
      <c r="K251" s="96" t="n"/>
      <c r="L251" s="96" t="n"/>
      <c r="M251" s="218" t="n"/>
      <c r="N251" s="132" t="n"/>
      <c r="O251" s="274">
        <f>IF(K251="","",COUNTIFS($K$12:K251,K251))</f>
        <v/>
      </c>
      <c r="P251" s="93">
        <f>IF(K251="","",K251&amp;"|"&amp;O251)</f>
        <v/>
      </c>
    </row>
    <row r="252" ht="15" customHeight="1" s="134">
      <c r="K252" s="96" t="n"/>
      <c r="L252" s="96" t="n"/>
      <c r="M252" s="218" t="n"/>
      <c r="N252" s="132" t="n"/>
      <c r="O252" s="274">
        <f>IF(K252="","",COUNTIFS($K$12:K252,K252))</f>
        <v/>
      </c>
      <c r="P252" s="93">
        <f>IF(K252="","",K252&amp;"|"&amp;O252)</f>
        <v/>
      </c>
    </row>
    <row r="253" ht="15" customHeight="1" s="134">
      <c r="K253" s="96" t="n"/>
      <c r="L253" s="96" t="n"/>
      <c r="M253" s="218" t="n"/>
      <c r="N253" s="132" t="n"/>
      <c r="O253" s="274">
        <f>IF(K253="","",COUNTIFS($K$12:K253,K253))</f>
        <v/>
      </c>
      <c r="P253" s="93">
        <f>IF(K253="","",K253&amp;"|"&amp;O253)</f>
        <v/>
      </c>
    </row>
    <row r="254" ht="15" customHeight="1" s="134">
      <c r="K254" s="96" t="n"/>
      <c r="L254" s="96" t="n"/>
      <c r="M254" s="218" t="n"/>
      <c r="N254" s="132" t="n"/>
      <c r="O254" s="274">
        <f>IF(K254="","",COUNTIFS($K$12:K254,K254))</f>
        <v/>
      </c>
      <c r="P254" s="93">
        <f>IF(K254="","",K254&amp;"|"&amp;O254)</f>
        <v/>
      </c>
    </row>
    <row r="255" ht="15" customHeight="1" s="134">
      <c r="K255" s="96" t="n"/>
      <c r="L255" s="96" t="n"/>
      <c r="M255" s="218" t="n"/>
      <c r="N255" s="132" t="n"/>
      <c r="O255" s="274">
        <f>IF(K255="","",COUNTIFS($K$12:K255,K255))</f>
        <v/>
      </c>
      <c r="P255" s="93">
        <f>IF(K255="","",K255&amp;"|"&amp;O255)</f>
        <v/>
      </c>
    </row>
    <row r="256" ht="15" customHeight="1" s="134">
      <c r="K256" s="96" t="n"/>
      <c r="L256" s="96" t="n"/>
      <c r="M256" s="218" t="n"/>
      <c r="N256" s="132" t="n"/>
      <c r="O256" s="274">
        <f>IF(K256="","",COUNTIFS($K$12:K256,K256))</f>
        <v/>
      </c>
      <c r="P256" s="93">
        <f>IF(K256="","",K256&amp;"|"&amp;O256)</f>
        <v/>
      </c>
    </row>
    <row r="257" ht="15" customHeight="1" s="134">
      <c r="K257" s="96" t="n"/>
      <c r="L257" s="96" t="n"/>
      <c r="M257" s="218" t="n"/>
      <c r="N257" s="132" t="n"/>
      <c r="O257" s="274">
        <f>IF(K257="","",COUNTIFS($K$12:K257,K257))</f>
        <v/>
      </c>
      <c r="P257" s="93">
        <f>IF(K257="","",K257&amp;"|"&amp;O257)</f>
        <v/>
      </c>
    </row>
    <row r="258" ht="15" customHeight="1" s="134">
      <c r="K258" s="96" t="n"/>
      <c r="L258" s="96" t="n"/>
      <c r="M258" s="218" t="n"/>
      <c r="N258" s="132" t="n"/>
      <c r="O258" s="274">
        <f>IF(K258="","",COUNTIFS($K$12:K258,K258))</f>
        <v/>
      </c>
      <c r="P258" s="93">
        <f>IF(K258="","",K258&amp;"|"&amp;O258)</f>
        <v/>
      </c>
    </row>
    <row r="259" ht="15" customHeight="1" s="134">
      <c r="K259" s="96" t="n"/>
      <c r="L259" s="96" t="n"/>
      <c r="M259" s="218" t="n"/>
      <c r="N259" s="132" t="n"/>
      <c r="O259" s="274">
        <f>IF(K259="","",COUNTIFS($K$12:K259,K259))</f>
        <v/>
      </c>
      <c r="P259" s="93">
        <f>IF(K259="","",K259&amp;"|"&amp;O259)</f>
        <v/>
      </c>
    </row>
    <row r="260" ht="15" customHeight="1" s="134">
      <c r="K260" s="96" t="n"/>
      <c r="L260" s="96" t="n"/>
      <c r="M260" s="218" t="n"/>
      <c r="N260" s="132" t="n"/>
      <c r="O260" s="274">
        <f>IF(K260="","",COUNTIFS($K$12:K260,K260))</f>
        <v/>
      </c>
      <c r="P260" s="93">
        <f>IF(K260="","",K260&amp;"|"&amp;O260)</f>
        <v/>
      </c>
    </row>
    <row r="261" ht="15" customHeight="1" s="134">
      <c r="K261" s="96" t="n"/>
      <c r="L261" s="96" t="n"/>
      <c r="M261" s="218" t="n"/>
      <c r="N261" s="132" t="n"/>
      <c r="O261" s="274">
        <f>IF(K261="","",COUNTIFS($K$12:K261,K261))</f>
        <v/>
      </c>
      <c r="P261" s="93">
        <f>IF(K261="","",K261&amp;"|"&amp;O261)</f>
        <v/>
      </c>
    </row>
    <row r="262" ht="15" customHeight="1" s="134">
      <c r="K262" s="96" t="n"/>
      <c r="L262" s="96" t="n"/>
      <c r="M262" s="218" t="n"/>
      <c r="N262" s="132" t="n"/>
      <c r="O262" s="274">
        <f>IF(K262="","",COUNTIFS($K$12:K262,K262))</f>
        <v/>
      </c>
      <c r="P262" s="93">
        <f>IF(K262="","",K262&amp;"|"&amp;O262)</f>
        <v/>
      </c>
    </row>
    <row r="263" ht="15" customHeight="1" s="134">
      <c r="K263" s="96" t="n"/>
      <c r="L263" s="96" t="n"/>
      <c r="M263" s="218" t="n"/>
      <c r="N263" s="132" t="n"/>
      <c r="O263" s="274">
        <f>IF(K263="","",COUNTIFS($K$12:K263,K263))</f>
        <v/>
      </c>
      <c r="P263" s="93">
        <f>IF(K263="","",K263&amp;"|"&amp;O263)</f>
        <v/>
      </c>
    </row>
    <row r="264" ht="15" customHeight="1" s="134">
      <c r="K264" s="96" t="n"/>
      <c r="L264" s="96" t="n"/>
      <c r="M264" s="218" t="n"/>
      <c r="N264" s="132" t="n"/>
      <c r="O264" s="274">
        <f>IF(K264="","",COUNTIFS($K$12:K264,K264))</f>
        <v/>
      </c>
      <c r="P264" s="93">
        <f>IF(K264="","",K264&amp;"|"&amp;O264)</f>
        <v/>
      </c>
    </row>
    <row r="265" ht="15" customHeight="1" s="134">
      <c r="K265" s="96" t="n"/>
      <c r="L265" s="96" t="n"/>
      <c r="M265" s="218" t="n"/>
      <c r="N265" s="132" t="n"/>
      <c r="O265" s="274">
        <f>IF(K265="","",COUNTIFS($K$12:K265,K265))</f>
        <v/>
      </c>
      <c r="P265" s="93">
        <f>IF(K265="","",K265&amp;"|"&amp;O265)</f>
        <v/>
      </c>
    </row>
    <row r="266" ht="15" customHeight="1" s="134">
      <c r="K266" s="96" t="n"/>
      <c r="L266" s="96" t="n"/>
      <c r="M266" s="218" t="n"/>
      <c r="N266" s="132" t="n"/>
      <c r="O266" s="274">
        <f>IF(K266="","",COUNTIFS($K$12:K266,K266))</f>
        <v/>
      </c>
      <c r="P266" s="93">
        <f>IF(K266="","",K266&amp;"|"&amp;O266)</f>
        <v/>
      </c>
    </row>
    <row r="267" ht="15" customHeight="1" s="134">
      <c r="K267" s="96" t="n"/>
      <c r="L267" s="96" t="n"/>
      <c r="M267" s="218" t="n"/>
      <c r="N267" s="132" t="n"/>
      <c r="O267" s="274">
        <f>IF(K267="","",COUNTIFS($K$12:K267,K267))</f>
        <v/>
      </c>
      <c r="P267" s="93">
        <f>IF(K267="","",K267&amp;"|"&amp;O267)</f>
        <v/>
      </c>
    </row>
    <row r="268" ht="15" customHeight="1" s="134">
      <c r="K268" s="96" t="n"/>
      <c r="L268" s="96" t="n"/>
      <c r="M268" s="218" t="n"/>
      <c r="N268" s="132" t="n"/>
      <c r="O268" s="274">
        <f>IF(K268="","",COUNTIFS($K$12:K268,K268))</f>
        <v/>
      </c>
      <c r="P268" s="93">
        <f>IF(K268="","",K268&amp;"|"&amp;O268)</f>
        <v/>
      </c>
    </row>
    <row r="269" ht="15" customHeight="1" s="134">
      <c r="K269" s="96" t="n"/>
      <c r="L269" s="96" t="n"/>
      <c r="M269" s="218" t="n"/>
      <c r="N269" s="132" t="n"/>
      <c r="O269" s="274">
        <f>IF(K269="","",COUNTIFS($K$12:K269,K269))</f>
        <v/>
      </c>
      <c r="P269" s="93">
        <f>IF(K269="","",K269&amp;"|"&amp;O269)</f>
        <v/>
      </c>
    </row>
    <row r="270" ht="15" customHeight="1" s="134">
      <c r="K270" s="96" t="n"/>
      <c r="L270" s="96" t="n"/>
      <c r="M270" s="218" t="n"/>
      <c r="N270" s="132" t="n"/>
      <c r="O270" s="274">
        <f>IF(K270="","",COUNTIFS($K$12:K270,K270))</f>
        <v/>
      </c>
      <c r="P270" s="93">
        <f>IF(K270="","",K270&amp;"|"&amp;O270)</f>
        <v/>
      </c>
    </row>
    <row r="271" ht="15" customHeight="1" s="134">
      <c r="K271" s="96" t="n"/>
      <c r="L271" s="96" t="n"/>
      <c r="M271" s="218" t="n"/>
      <c r="N271" s="132" t="n"/>
      <c r="O271" s="274">
        <f>IF(K271="","",COUNTIFS($K$12:K271,K271))</f>
        <v/>
      </c>
      <c r="P271" s="93">
        <f>IF(K271="","",K271&amp;"|"&amp;O271)</f>
        <v/>
      </c>
    </row>
    <row r="272" ht="15" customHeight="1" s="134">
      <c r="K272" s="96" t="n"/>
      <c r="L272" s="96" t="n"/>
      <c r="M272" s="218" t="n"/>
      <c r="N272" s="132" t="n"/>
      <c r="O272" s="274">
        <f>IF(K272="","",COUNTIFS($K$12:K272,K272))</f>
        <v/>
      </c>
      <c r="P272" s="93">
        <f>IF(K272="","",K272&amp;"|"&amp;O272)</f>
        <v/>
      </c>
    </row>
    <row r="273" ht="15" customHeight="1" s="134">
      <c r="K273" s="96" t="n"/>
      <c r="L273" s="96" t="n"/>
      <c r="M273" s="218" t="n"/>
      <c r="N273" s="132" t="n"/>
      <c r="O273" s="274">
        <f>IF(K273="","",COUNTIFS($K$12:K273,K273))</f>
        <v/>
      </c>
      <c r="P273" s="93">
        <f>IF(K273="","",K273&amp;"|"&amp;O273)</f>
        <v/>
      </c>
    </row>
    <row r="274" ht="15" customHeight="1" s="134">
      <c r="K274" s="96" t="n"/>
      <c r="L274" s="96" t="n"/>
      <c r="M274" s="218" t="n"/>
      <c r="N274" s="132" t="n"/>
      <c r="O274" s="274">
        <f>IF(K274="","",COUNTIFS($K$12:K274,K274))</f>
        <v/>
      </c>
      <c r="P274" s="93">
        <f>IF(K274="","",K274&amp;"|"&amp;O274)</f>
        <v/>
      </c>
    </row>
    <row r="275" ht="15" customHeight="1" s="134">
      <c r="K275" s="96" t="n"/>
      <c r="L275" s="96" t="n"/>
      <c r="M275" s="218" t="n"/>
      <c r="N275" s="132" t="n"/>
      <c r="O275" s="274">
        <f>IF(K275="","",COUNTIFS($K$12:K275,K275))</f>
        <v/>
      </c>
      <c r="P275" s="93">
        <f>IF(K275="","",K275&amp;"|"&amp;O275)</f>
        <v/>
      </c>
    </row>
    <row r="276" ht="15" customHeight="1" s="134">
      <c r="K276" s="96" t="n"/>
      <c r="L276" s="96" t="n"/>
      <c r="M276" s="218" t="n"/>
      <c r="N276" s="132" t="n"/>
      <c r="O276" s="274">
        <f>IF(K276="","",COUNTIFS($K$12:K276,K276))</f>
        <v/>
      </c>
      <c r="P276" s="93">
        <f>IF(K276="","",K276&amp;"|"&amp;O276)</f>
        <v/>
      </c>
    </row>
    <row r="277" ht="15" customHeight="1" s="134">
      <c r="K277" s="96" t="n"/>
      <c r="L277" s="96" t="n"/>
      <c r="M277" s="218" t="n"/>
      <c r="N277" s="132" t="n"/>
      <c r="O277" s="274">
        <f>IF(K277="","",COUNTIFS($K$12:K277,K277))</f>
        <v/>
      </c>
      <c r="P277" s="93">
        <f>IF(K277="","",K277&amp;"|"&amp;O277)</f>
        <v/>
      </c>
    </row>
    <row r="278" ht="15" customHeight="1" s="134">
      <c r="K278" s="96" t="n"/>
      <c r="L278" s="96" t="n"/>
      <c r="M278" s="218" t="n"/>
      <c r="N278" s="132" t="n"/>
      <c r="O278" s="274">
        <f>IF(K278="","",COUNTIFS($K$12:K278,K278))</f>
        <v/>
      </c>
      <c r="P278" s="93">
        <f>IF(K278="","",K278&amp;"|"&amp;O278)</f>
        <v/>
      </c>
    </row>
    <row r="279" ht="15" customHeight="1" s="134">
      <c r="K279" s="96" t="n"/>
      <c r="L279" s="96" t="n"/>
      <c r="M279" s="218" t="n"/>
      <c r="N279" s="132" t="n"/>
      <c r="O279" s="274">
        <f>IF(K279="","",COUNTIFS($K$12:K279,K279))</f>
        <v/>
      </c>
      <c r="P279" s="93">
        <f>IF(K279="","",K279&amp;"|"&amp;O279)</f>
        <v/>
      </c>
    </row>
    <row r="280" ht="15" customHeight="1" s="134">
      <c r="K280" s="96" t="n"/>
      <c r="L280" s="96" t="n"/>
      <c r="M280" s="218" t="n"/>
      <c r="N280" s="132" t="n"/>
      <c r="O280" s="274">
        <f>IF(K280="","",COUNTIFS($K$12:K280,K280))</f>
        <v/>
      </c>
      <c r="P280" s="93">
        <f>IF(K280="","",K280&amp;"|"&amp;O280)</f>
        <v/>
      </c>
    </row>
    <row r="281" ht="15" customHeight="1" s="134">
      <c r="K281" s="96" t="n"/>
      <c r="L281" s="96" t="n"/>
      <c r="M281" s="218" t="n"/>
      <c r="N281" s="132" t="n"/>
      <c r="O281" s="274">
        <f>IF(K281="","",COUNTIFS($K$12:K281,K281))</f>
        <v/>
      </c>
      <c r="P281" s="93">
        <f>IF(K281="","",K281&amp;"|"&amp;O281)</f>
        <v/>
      </c>
    </row>
    <row r="282" ht="15" customHeight="1" s="134">
      <c r="K282" s="96" t="n"/>
      <c r="L282" s="96" t="n"/>
      <c r="M282" s="218" t="n"/>
      <c r="N282" s="132" t="n"/>
      <c r="O282" s="274">
        <f>IF(K282="","",COUNTIFS($K$12:K282,K282))</f>
        <v/>
      </c>
      <c r="P282" s="93">
        <f>IF(K282="","",K282&amp;"|"&amp;O282)</f>
        <v/>
      </c>
    </row>
    <row r="283" ht="15" customHeight="1" s="134">
      <c r="K283" s="96" t="n"/>
      <c r="L283" s="96" t="n"/>
      <c r="M283" s="218" t="n"/>
      <c r="N283" s="132" t="n"/>
      <c r="O283" s="274">
        <f>IF(K283="","",COUNTIFS($K$12:K283,K283))</f>
        <v/>
      </c>
      <c r="P283" s="93">
        <f>IF(K283="","",K283&amp;"|"&amp;O283)</f>
        <v/>
      </c>
    </row>
    <row r="284" ht="15" customHeight="1" s="134">
      <c r="K284" s="96" t="n"/>
      <c r="L284" s="96" t="n"/>
      <c r="M284" s="218" t="n"/>
      <c r="N284" s="132" t="n"/>
      <c r="O284" s="274">
        <f>IF(K284="","",COUNTIFS($K$12:K284,K284))</f>
        <v/>
      </c>
      <c r="P284" s="93">
        <f>IF(K284="","",K284&amp;"|"&amp;O284)</f>
        <v/>
      </c>
    </row>
    <row r="285" ht="15" customHeight="1" s="134">
      <c r="K285" s="96" t="n"/>
      <c r="L285" s="96" t="n"/>
      <c r="M285" s="218" t="n"/>
      <c r="N285" s="132" t="n"/>
      <c r="O285" s="274">
        <f>IF(K285="","",COUNTIFS($K$12:K285,K285))</f>
        <v/>
      </c>
      <c r="P285" s="93">
        <f>IF(K285="","",K285&amp;"|"&amp;O285)</f>
        <v/>
      </c>
    </row>
    <row r="286" ht="15" customHeight="1" s="134">
      <c r="K286" s="96" t="n"/>
      <c r="L286" s="96" t="n"/>
      <c r="M286" s="218" t="n"/>
      <c r="N286" s="132" t="n"/>
      <c r="O286" s="274">
        <f>IF(K286="","",COUNTIFS($K$12:K286,K286))</f>
        <v/>
      </c>
      <c r="P286" s="93">
        <f>IF(K286="","",K286&amp;"|"&amp;O286)</f>
        <v/>
      </c>
    </row>
    <row r="287" ht="15" customHeight="1" s="134">
      <c r="K287" s="96" t="n"/>
      <c r="L287" s="96" t="n"/>
      <c r="M287" s="218" t="n"/>
      <c r="N287" s="132" t="n"/>
      <c r="O287" s="274">
        <f>IF(K287="","",COUNTIFS($K$12:K287,K287))</f>
        <v/>
      </c>
      <c r="P287" s="93">
        <f>IF(K287="","",K287&amp;"|"&amp;O287)</f>
        <v/>
      </c>
    </row>
    <row r="288" ht="15" customHeight="1" s="134">
      <c r="K288" s="96" t="n"/>
      <c r="L288" s="96" t="n"/>
      <c r="M288" s="218" t="n"/>
      <c r="N288" s="132" t="n"/>
      <c r="O288" s="274">
        <f>IF(K288="","",COUNTIFS($K$12:K288,K288))</f>
        <v/>
      </c>
      <c r="P288" s="93">
        <f>IF(K288="","",K288&amp;"|"&amp;O288)</f>
        <v/>
      </c>
    </row>
    <row r="289" ht="15" customHeight="1" s="134">
      <c r="K289" s="96" t="n"/>
      <c r="L289" s="96" t="n"/>
      <c r="M289" s="218" t="n"/>
      <c r="N289" s="132" t="n"/>
      <c r="O289" s="274">
        <f>IF(K289="","",COUNTIFS($K$12:K289,K289))</f>
        <v/>
      </c>
      <c r="P289" s="93">
        <f>IF(K289="","",K289&amp;"|"&amp;O289)</f>
        <v/>
      </c>
    </row>
    <row r="290" ht="15" customHeight="1" s="134">
      <c r="K290" s="96" t="n"/>
      <c r="L290" s="96" t="n"/>
      <c r="M290" s="218" t="n"/>
      <c r="N290" s="132" t="n"/>
      <c r="O290" s="274">
        <f>IF(K290="","",COUNTIFS($K$12:K290,K290))</f>
        <v/>
      </c>
      <c r="P290" s="93">
        <f>IF(K290="","",K290&amp;"|"&amp;O290)</f>
        <v/>
      </c>
    </row>
    <row r="291" ht="15" customHeight="1" s="134">
      <c r="K291" s="96" t="n"/>
      <c r="L291" s="96" t="n"/>
      <c r="M291" s="218" t="n"/>
      <c r="N291" s="132" t="n"/>
      <c r="O291" s="274">
        <f>IF(K291="","",COUNTIFS($K$12:K291,K291))</f>
        <v/>
      </c>
      <c r="P291" s="93">
        <f>IF(K291="","",K291&amp;"|"&amp;O291)</f>
        <v/>
      </c>
    </row>
    <row r="292" ht="15" customHeight="1" s="134">
      <c r="K292" s="96" t="n"/>
      <c r="L292" s="96" t="n"/>
      <c r="M292" s="218" t="n"/>
      <c r="N292" s="132" t="n"/>
      <c r="O292" s="274">
        <f>IF(K292="","",COUNTIFS($K$12:K292,K292))</f>
        <v/>
      </c>
      <c r="P292" s="93">
        <f>IF(K292="","",K292&amp;"|"&amp;O292)</f>
        <v/>
      </c>
    </row>
    <row r="293" ht="15" customHeight="1" s="134">
      <c r="K293" s="96" t="n"/>
      <c r="L293" s="96" t="n"/>
      <c r="M293" s="218" t="n"/>
      <c r="N293" s="132" t="n"/>
      <c r="O293" s="274">
        <f>IF(K293="","",COUNTIFS($K$12:K293,K293))</f>
        <v/>
      </c>
      <c r="P293" s="93">
        <f>IF(K293="","",K293&amp;"|"&amp;O293)</f>
        <v/>
      </c>
    </row>
    <row r="294" ht="15" customHeight="1" s="134">
      <c r="K294" s="96" t="n"/>
      <c r="L294" s="96" t="n"/>
      <c r="M294" s="218" t="n"/>
      <c r="N294" s="132" t="n"/>
      <c r="O294" s="274">
        <f>IF(K294="","",COUNTIFS($K$12:K294,K294))</f>
        <v/>
      </c>
      <c r="P294" s="93">
        <f>IF(K294="","",K294&amp;"|"&amp;O294)</f>
        <v/>
      </c>
    </row>
    <row r="295" ht="15" customHeight="1" s="134">
      <c r="K295" s="96" t="n"/>
      <c r="L295" s="96" t="n"/>
      <c r="M295" s="218" t="n"/>
      <c r="N295" s="132" t="n"/>
      <c r="O295" s="274">
        <f>IF(K295="","",COUNTIFS($K$12:K295,K295))</f>
        <v/>
      </c>
      <c r="P295" s="93">
        <f>IF(K295="","",K295&amp;"|"&amp;O295)</f>
        <v/>
      </c>
    </row>
    <row r="296" ht="15" customHeight="1" s="134">
      <c r="K296" s="96" t="n"/>
      <c r="L296" s="96" t="n"/>
      <c r="M296" s="218" t="n"/>
      <c r="N296" s="132" t="n"/>
      <c r="O296" s="274">
        <f>IF(K296="","",COUNTIFS($K$12:K296,K296))</f>
        <v/>
      </c>
      <c r="P296" s="93">
        <f>IF(K296="","",K296&amp;"|"&amp;O296)</f>
        <v/>
      </c>
    </row>
    <row r="297" ht="15" customHeight="1" s="134">
      <c r="K297" s="96" t="n"/>
      <c r="L297" s="96" t="n"/>
      <c r="M297" s="218" t="n"/>
      <c r="N297" s="132" t="n"/>
      <c r="O297" s="274">
        <f>IF(K297="","",COUNTIFS($K$12:K297,K297))</f>
        <v/>
      </c>
      <c r="P297" s="93">
        <f>IF(K297="","",K297&amp;"|"&amp;O297)</f>
        <v/>
      </c>
    </row>
    <row r="298" ht="15" customHeight="1" s="134">
      <c r="K298" s="96" t="n"/>
      <c r="L298" s="96" t="n"/>
      <c r="M298" s="218" t="n"/>
      <c r="N298" s="132" t="n"/>
      <c r="O298" s="274">
        <f>IF(K298="","",COUNTIFS($K$12:K298,K298))</f>
        <v/>
      </c>
      <c r="P298" s="93">
        <f>IF(K298="","",K298&amp;"|"&amp;O298)</f>
        <v/>
      </c>
    </row>
    <row r="299" ht="15" customHeight="1" s="134">
      <c r="K299" s="96" t="n"/>
      <c r="L299" s="96" t="n"/>
      <c r="M299" s="218" t="n"/>
      <c r="N299" s="132" t="n"/>
      <c r="O299" s="274">
        <f>IF(K299="","",COUNTIFS($K$12:K299,K299))</f>
        <v/>
      </c>
      <c r="P299" s="93">
        <f>IF(K299="","",K299&amp;"|"&amp;O299)</f>
        <v/>
      </c>
    </row>
    <row r="300" ht="15" customHeight="1" s="134">
      <c r="K300" s="96" t="n"/>
      <c r="L300" s="96" t="n"/>
      <c r="M300" s="218" t="n"/>
      <c r="N300" s="132" t="n"/>
      <c r="O300" s="274">
        <f>IF(K300="","",COUNTIFS($K$12:K300,K300))</f>
        <v/>
      </c>
      <c r="P300" s="93">
        <f>IF(K300="","",K300&amp;"|"&amp;O300)</f>
        <v/>
      </c>
    </row>
    <row r="301" ht="15" customHeight="1" s="134">
      <c r="K301" s="96" t="n"/>
      <c r="L301" s="96" t="n"/>
      <c r="M301" s="218" t="n"/>
      <c r="N301" s="132" t="n"/>
      <c r="O301" s="274">
        <f>IF(K301="","",COUNTIFS($K$12:K301,K301))</f>
        <v/>
      </c>
      <c r="P301" s="93">
        <f>IF(K301="","",K301&amp;"|"&amp;O301)</f>
        <v/>
      </c>
    </row>
    <row r="302" ht="15" customHeight="1" s="134">
      <c r="K302" s="96" t="n"/>
      <c r="L302" s="96" t="n"/>
      <c r="M302" s="218" t="n"/>
      <c r="N302" s="132" t="n"/>
      <c r="O302" s="274">
        <f>IF(K302="","",COUNTIFS($K$12:K302,K302))</f>
        <v/>
      </c>
      <c r="P302" s="93">
        <f>IF(K302="","",K302&amp;"|"&amp;O302)</f>
        <v/>
      </c>
    </row>
    <row r="303" ht="15" customHeight="1" s="134">
      <c r="K303" s="96" t="n"/>
      <c r="L303" s="96" t="n"/>
      <c r="M303" s="218" t="n"/>
      <c r="N303" s="132" t="n"/>
      <c r="O303" s="274">
        <f>IF(K303="","",COUNTIFS($K$12:K303,K303))</f>
        <v/>
      </c>
      <c r="P303" s="93">
        <f>IF(K303="","",K303&amp;"|"&amp;O303)</f>
        <v/>
      </c>
    </row>
    <row r="304" ht="15" customHeight="1" s="134">
      <c r="K304" s="96" t="n"/>
      <c r="L304" s="96" t="n"/>
      <c r="M304" s="218" t="n"/>
      <c r="N304" s="132" t="n"/>
      <c r="O304" s="274">
        <f>IF(K304="","",COUNTIFS($K$12:K304,K304))</f>
        <v/>
      </c>
      <c r="P304" s="93">
        <f>IF(K304="","",K304&amp;"|"&amp;O304)</f>
        <v/>
      </c>
    </row>
    <row r="305" ht="15" customHeight="1" s="134">
      <c r="K305" s="96" t="n"/>
      <c r="L305" s="96" t="n"/>
      <c r="M305" s="218" t="n"/>
      <c r="N305" s="132" t="n"/>
      <c r="O305" s="274">
        <f>IF(K305="","",COUNTIFS($K$12:K305,K305))</f>
        <v/>
      </c>
      <c r="P305" s="93">
        <f>IF(K305="","",K305&amp;"|"&amp;O305)</f>
        <v/>
      </c>
    </row>
    <row r="306" ht="15" customHeight="1" s="134">
      <c r="K306" s="96" t="n"/>
      <c r="L306" s="96" t="n"/>
      <c r="M306" s="218" t="n"/>
      <c r="N306" s="132" t="n"/>
      <c r="O306" s="274">
        <f>IF(K306="","",COUNTIFS($K$12:K306,K306))</f>
        <v/>
      </c>
      <c r="P306" s="93">
        <f>IF(K306="","",K306&amp;"|"&amp;O306)</f>
        <v/>
      </c>
    </row>
    <row r="307" ht="15" customHeight="1" s="134">
      <c r="K307" s="96" t="n"/>
      <c r="L307" s="96" t="n"/>
      <c r="M307" s="218" t="n"/>
      <c r="N307" s="132" t="n"/>
      <c r="O307" s="274">
        <f>IF(K307="","",COUNTIFS($K$12:K307,K307))</f>
        <v/>
      </c>
      <c r="P307" s="93">
        <f>IF(K307="","",K307&amp;"|"&amp;O307)</f>
        <v/>
      </c>
    </row>
    <row r="308" ht="15" customHeight="1" s="134">
      <c r="K308" s="96" t="n"/>
      <c r="L308" s="96" t="n"/>
      <c r="M308" s="218" t="n"/>
      <c r="N308" s="132" t="n"/>
      <c r="O308" s="274">
        <f>IF(K308="","",COUNTIFS($K$12:K308,K308))</f>
        <v/>
      </c>
      <c r="P308" s="93">
        <f>IF(K308="","",K308&amp;"|"&amp;O308)</f>
        <v/>
      </c>
    </row>
    <row r="309" ht="15" customHeight="1" s="134">
      <c r="K309" s="96" t="n"/>
      <c r="L309" s="96" t="n"/>
      <c r="M309" s="218" t="n"/>
      <c r="N309" s="132" t="n"/>
      <c r="O309" s="274">
        <f>IF(K309="","",COUNTIFS($K$12:K309,K309))</f>
        <v/>
      </c>
      <c r="P309" s="93">
        <f>IF(K309="","",K309&amp;"|"&amp;O309)</f>
        <v/>
      </c>
    </row>
    <row r="310" ht="15" customHeight="1" s="134">
      <c r="K310" s="96" t="n"/>
      <c r="L310" s="96" t="n"/>
      <c r="M310" s="218" t="n"/>
      <c r="N310" s="132" t="n"/>
      <c r="O310" s="274">
        <f>IF(K310="","",COUNTIFS($K$12:K310,K310))</f>
        <v/>
      </c>
      <c r="P310" s="93">
        <f>IF(K310="","",K310&amp;"|"&amp;O310)</f>
        <v/>
      </c>
    </row>
    <row r="311" ht="15" customHeight="1" s="134">
      <c r="K311" s="96" t="n"/>
      <c r="L311" s="96" t="n"/>
      <c r="M311" s="218" t="n"/>
      <c r="N311" s="132" t="n"/>
      <c r="O311" s="274">
        <f>IF(K311="","",COUNTIFS($K$12:K311,K311))</f>
        <v/>
      </c>
      <c r="P311" s="93">
        <f>IF(K311="","",K311&amp;"|"&amp;O311)</f>
        <v/>
      </c>
    </row>
    <row r="312" ht="15" customHeight="1" s="134">
      <c r="K312" s="96" t="n"/>
      <c r="L312" s="96" t="n"/>
      <c r="M312" s="218" t="n"/>
      <c r="N312" s="132" t="n"/>
      <c r="O312" s="274">
        <f>IF(K312="","",COUNTIFS($K$12:K312,K312))</f>
        <v/>
      </c>
      <c r="P312" s="93">
        <f>IF(K312="","",K312&amp;"|"&amp;O312)</f>
        <v/>
      </c>
    </row>
    <row r="313" ht="15" customHeight="1" s="134">
      <c r="K313" s="96" t="n"/>
      <c r="L313" s="96" t="n"/>
      <c r="M313" s="218" t="n"/>
      <c r="N313" s="132" t="n"/>
      <c r="O313" s="274">
        <f>IF(K313="","",COUNTIFS($K$12:K313,K313))</f>
        <v/>
      </c>
      <c r="P313" s="93">
        <f>IF(K313="","",K313&amp;"|"&amp;O313)</f>
        <v/>
      </c>
    </row>
    <row r="314" ht="15" customHeight="1" s="134">
      <c r="K314" s="96" t="n"/>
      <c r="L314" s="96" t="n"/>
      <c r="M314" s="218" t="n"/>
      <c r="N314" s="132" t="n"/>
      <c r="O314" s="274">
        <f>IF(K314="","",COUNTIFS($K$12:K314,K314))</f>
        <v/>
      </c>
      <c r="P314" s="93">
        <f>IF(K314="","",K314&amp;"|"&amp;O314)</f>
        <v/>
      </c>
    </row>
    <row r="315" ht="15" customHeight="1" s="134">
      <c r="K315" s="96" t="n"/>
      <c r="L315" s="96" t="n"/>
      <c r="M315" s="218" t="n"/>
      <c r="N315" s="132" t="n"/>
      <c r="O315" s="274">
        <f>IF(K315="","",COUNTIFS($K$12:K315,K315))</f>
        <v/>
      </c>
      <c r="P315" s="93">
        <f>IF(K315="","",K315&amp;"|"&amp;O315)</f>
        <v/>
      </c>
    </row>
    <row r="316" ht="15" customHeight="1" s="134">
      <c r="K316" s="96" t="n"/>
      <c r="L316" s="96" t="n"/>
      <c r="M316" s="218" t="n"/>
      <c r="N316" s="132" t="n"/>
      <c r="O316" s="274">
        <f>IF(K316="","",COUNTIFS($K$12:K316,K316))</f>
        <v/>
      </c>
      <c r="P316" s="93">
        <f>IF(K316="","",K316&amp;"|"&amp;O316)</f>
        <v/>
      </c>
    </row>
    <row r="317" ht="15" customHeight="1" s="134">
      <c r="K317" s="96" t="n"/>
      <c r="L317" s="96" t="n"/>
      <c r="M317" s="218" t="n"/>
      <c r="N317" s="132" t="n"/>
      <c r="O317" s="274">
        <f>IF(K317="","",COUNTIFS($K$12:K317,K317))</f>
        <v/>
      </c>
      <c r="P317" s="93">
        <f>IF(K317="","",K317&amp;"|"&amp;O317)</f>
        <v/>
      </c>
    </row>
    <row r="318" ht="15" customHeight="1" s="134">
      <c r="K318" s="96" t="n"/>
      <c r="L318" s="96" t="n"/>
      <c r="M318" s="218" t="n"/>
      <c r="N318" s="132" t="n"/>
      <c r="O318" s="274">
        <f>IF(K318="","",COUNTIFS($K$12:K318,K318))</f>
        <v/>
      </c>
      <c r="P318" s="93">
        <f>IF(K318="","",K318&amp;"|"&amp;O318)</f>
        <v/>
      </c>
    </row>
    <row r="319" ht="15" customHeight="1" s="134">
      <c r="K319" s="96" t="n"/>
      <c r="L319" s="96" t="n"/>
      <c r="M319" s="218" t="n"/>
      <c r="N319" s="132" t="n"/>
      <c r="O319" s="274">
        <f>IF(K319="","",COUNTIFS($K$12:K319,K319))</f>
        <v/>
      </c>
      <c r="P319" s="93">
        <f>IF(K319="","",K319&amp;"|"&amp;O319)</f>
        <v/>
      </c>
    </row>
    <row r="320" ht="15" customHeight="1" s="134">
      <c r="K320" s="96" t="n"/>
      <c r="L320" s="96" t="n"/>
      <c r="M320" s="218" t="n"/>
      <c r="N320" s="132" t="n"/>
      <c r="O320" s="274">
        <f>IF(K320="","",COUNTIFS($K$12:K320,K320))</f>
        <v/>
      </c>
      <c r="P320" s="93">
        <f>IF(K320="","",K320&amp;"|"&amp;O320)</f>
        <v/>
      </c>
    </row>
    <row r="321" ht="15" customHeight="1" s="134">
      <c r="K321" s="96" t="n"/>
      <c r="L321" s="96" t="n"/>
      <c r="M321" s="218" t="n"/>
      <c r="N321" s="132" t="n"/>
      <c r="O321" s="274">
        <f>IF(K321="","",COUNTIFS($K$12:K321,K321))</f>
        <v/>
      </c>
      <c r="P321" s="93">
        <f>IF(K321="","",K321&amp;"|"&amp;O321)</f>
        <v/>
      </c>
    </row>
    <row r="322" ht="15" customHeight="1" s="134">
      <c r="K322" s="96" t="n"/>
      <c r="L322" s="96" t="n"/>
      <c r="M322" s="218" t="n"/>
      <c r="N322" s="132" t="n"/>
      <c r="O322" s="274">
        <f>IF(K322="","",COUNTIFS($K$12:K322,K322))</f>
        <v/>
      </c>
      <c r="P322" s="93">
        <f>IF(K322="","",K322&amp;"|"&amp;O322)</f>
        <v/>
      </c>
    </row>
    <row r="323" ht="15" customHeight="1" s="134">
      <c r="K323" s="96" t="n"/>
      <c r="L323" s="96" t="n"/>
      <c r="M323" s="218" t="n"/>
      <c r="N323" s="132" t="n"/>
      <c r="O323" s="274">
        <f>IF(K323="","",COUNTIFS($K$12:K323,K323))</f>
        <v/>
      </c>
      <c r="P323" s="93">
        <f>IF(K323="","",K323&amp;"|"&amp;O323)</f>
        <v/>
      </c>
    </row>
    <row r="324" ht="15" customHeight="1" s="134">
      <c r="K324" s="96" t="n"/>
      <c r="L324" s="96" t="n"/>
      <c r="M324" s="218" t="n"/>
      <c r="N324" s="132" t="n"/>
      <c r="O324" s="274">
        <f>IF(K324="","",COUNTIFS($K$12:K324,K324))</f>
        <v/>
      </c>
      <c r="P324" s="93">
        <f>IF(K324="","",K324&amp;"|"&amp;O324)</f>
        <v/>
      </c>
    </row>
    <row r="325" ht="15" customHeight="1" s="134">
      <c r="K325" s="96" t="n"/>
      <c r="L325" s="96" t="n"/>
      <c r="M325" s="218" t="n"/>
      <c r="N325" s="132" t="n"/>
      <c r="O325" s="274">
        <f>IF(K325="","",COUNTIFS($K$12:K325,K325))</f>
        <v/>
      </c>
      <c r="P325" s="93">
        <f>IF(K325="","",K325&amp;"|"&amp;O325)</f>
        <v/>
      </c>
    </row>
    <row r="326" ht="15" customHeight="1" s="134">
      <c r="K326" s="96" t="n"/>
      <c r="L326" s="96" t="n"/>
      <c r="M326" s="218" t="n"/>
      <c r="N326" s="132" t="n"/>
      <c r="O326" s="274">
        <f>IF(K326="","",COUNTIFS($K$12:K326,K326))</f>
        <v/>
      </c>
      <c r="P326" s="93">
        <f>IF(K326="","",K326&amp;"|"&amp;O326)</f>
        <v/>
      </c>
    </row>
    <row r="327" ht="15" customHeight="1" s="134">
      <c r="K327" s="96" t="n"/>
      <c r="L327" s="96" t="n"/>
      <c r="M327" s="218" t="n"/>
      <c r="N327" s="132" t="n"/>
      <c r="O327" s="274">
        <f>IF(K327="","",COUNTIFS($K$12:K327,K327))</f>
        <v/>
      </c>
      <c r="P327" s="93">
        <f>IF(K327="","",K327&amp;"|"&amp;O327)</f>
        <v/>
      </c>
    </row>
    <row r="328" ht="15" customHeight="1" s="134">
      <c r="K328" s="96" t="n"/>
      <c r="L328" s="96" t="n"/>
      <c r="M328" s="218" t="n"/>
      <c r="N328" s="132" t="n"/>
      <c r="O328" s="274">
        <f>IF(K328="","",COUNTIFS($K$12:K328,K328))</f>
        <v/>
      </c>
      <c r="P328" s="93">
        <f>IF(K328="","",K328&amp;"|"&amp;O328)</f>
        <v/>
      </c>
    </row>
    <row r="329" ht="15" customHeight="1" s="134">
      <c r="K329" s="96" t="n"/>
      <c r="L329" s="96" t="n"/>
      <c r="M329" s="218" t="n"/>
      <c r="N329" s="132" t="n"/>
      <c r="O329" s="274">
        <f>IF(K329="","",COUNTIFS($K$12:K329,K329))</f>
        <v/>
      </c>
      <c r="P329" s="93">
        <f>IF(K329="","",K329&amp;"|"&amp;O329)</f>
        <v/>
      </c>
    </row>
    <row r="330" ht="15" customHeight="1" s="134">
      <c r="K330" s="96" t="n"/>
      <c r="L330" s="96" t="n"/>
      <c r="M330" s="218" t="n"/>
      <c r="N330" s="132" t="n"/>
      <c r="O330" s="274">
        <f>IF(K330="","",COUNTIFS($K$12:K330,K330))</f>
        <v/>
      </c>
      <c r="P330" s="93">
        <f>IF(K330="","",K330&amp;"|"&amp;O330)</f>
        <v/>
      </c>
    </row>
    <row r="331" ht="15" customHeight="1" s="134">
      <c r="K331" s="96" t="n"/>
      <c r="L331" s="96" t="n"/>
      <c r="M331" s="218" t="n"/>
      <c r="N331" s="132" t="n"/>
      <c r="O331" s="274">
        <f>IF(K331="","",COUNTIFS($K$12:K331,K331))</f>
        <v/>
      </c>
      <c r="P331" s="93">
        <f>IF(K331="","",K331&amp;"|"&amp;O331)</f>
        <v/>
      </c>
    </row>
    <row r="332" ht="15" customHeight="1" s="134">
      <c r="K332" s="96" t="n"/>
      <c r="L332" s="96" t="n"/>
      <c r="M332" s="218" t="n"/>
      <c r="N332" s="132" t="n"/>
      <c r="O332" s="274">
        <f>IF(K332="","",COUNTIFS($K$12:K332,K332))</f>
        <v/>
      </c>
      <c r="P332" s="93">
        <f>IF(K332="","",K332&amp;"|"&amp;O332)</f>
        <v/>
      </c>
    </row>
    <row r="333" ht="15" customHeight="1" s="134">
      <c r="K333" s="96" t="n"/>
      <c r="L333" s="96" t="n"/>
      <c r="M333" s="218" t="n"/>
      <c r="N333" s="132" t="n"/>
      <c r="O333" s="274">
        <f>IF(K333="","",COUNTIFS($K$12:K333,K333))</f>
        <v/>
      </c>
      <c r="P333" s="93">
        <f>IF(K333="","",K333&amp;"|"&amp;O333)</f>
        <v/>
      </c>
    </row>
    <row r="334" ht="15" customHeight="1" s="134">
      <c r="K334" s="96" t="n"/>
      <c r="L334" s="96" t="n"/>
      <c r="M334" s="218" t="n"/>
      <c r="N334" s="132" t="n"/>
      <c r="O334" s="274">
        <f>IF(K334="","",COUNTIFS($K$12:K334,K334))</f>
        <v/>
      </c>
      <c r="P334" s="93">
        <f>IF(K334="","",K334&amp;"|"&amp;O334)</f>
        <v/>
      </c>
    </row>
    <row r="335" ht="15" customHeight="1" s="134">
      <c r="K335" s="96" t="n"/>
      <c r="L335" s="96" t="n"/>
      <c r="M335" s="218" t="n"/>
      <c r="N335" s="132" t="n"/>
      <c r="O335" s="274">
        <f>IF(K335="","",COUNTIFS($K$12:K335,K335))</f>
        <v/>
      </c>
      <c r="P335" s="93">
        <f>IF(K335="","",K335&amp;"|"&amp;O335)</f>
        <v/>
      </c>
    </row>
    <row r="336" ht="15" customHeight="1" s="134">
      <c r="K336" s="96" t="n"/>
      <c r="L336" s="96" t="n"/>
      <c r="M336" s="218" t="n"/>
      <c r="N336" s="132" t="n"/>
      <c r="O336" s="274">
        <f>IF(K336="","",COUNTIFS($K$12:K336,K336))</f>
        <v/>
      </c>
      <c r="P336" s="93">
        <f>IF(K336="","",K336&amp;"|"&amp;O336)</f>
        <v/>
      </c>
    </row>
    <row r="337" ht="15" customHeight="1" s="134">
      <c r="K337" s="96" t="n"/>
      <c r="L337" s="96" t="n"/>
      <c r="M337" s="218" t="n"/>
      <c r="N337" s="132" t="n"/>
      <c r="O337" s="274">
        <f>IF(K337="","",COUNTIFS($K$12:K337,K337))</f>
        <v/>
      </c>
      <c r="P337" s="93">
        <f>IF(K337="","",K337&amp;"|"&amp;O337)</f>
        <v/>
      </c>
    </row>
    <row r="338" ht="15" customHeight="1" s="134">
      <c r="K338" s="96" t="n"/>
      <c r="L338" s="96" t="n"/>
      <c r="M338" s="218" t="n"/>
      <c r="N338" s="132" t="n"/>
      <c r="O338" s="274">
        <f>IF(K338="","",COUNTIFS($K$12:K338,K338))</f>
        <v/>
      </c>
      <c r="P338" s="93">
        <f>IF(K338="","",K338&amp;"|"&amp;O338)</f>
        <v/>
      </c>
    </row>
    <row r="339" ht="15" customHeight="1" s="134">
      <c r="K339" s="96" t="n"/>
      <c r="L339" s="96" t="n"/>
      <c r="M339" s="218" t="n"/>
      <c r="N339" s="132" t="n"/>
      <c r="O339" s="274">
        <f>IF(K339="","",COUNTIFS($K$12:K339,K339))</f>
        <v/>
      </c>
      <c r="P339" s="93">
        <f>IF(K339="","",K339&amp;"|"&amp;O339)</f>
        <v/>
      </c>
    </row>
    <row r="340" ht="15" customHeight="1" s="134">
      <c r="K340" s="96" t="n"/>
      <c r="L340" s="96" t="n"/>
      <c r="M340" s="218" t="n"/>
      <c r="N340" s="132" t="n"/>
      <c r="O340" s="274">
        <f>IF(K340="","",COUNTIFS($K$12:K340,K340))</f>
        <v/>
      </c>
      <c r="P340" s="93">
        <f>IF(K340="","",K340&amp;"|"&amp;O340)</f>
        <v/>
      </c>
    </row>
    <row r="341" ht="15" customHeight="1" s="134">
      <c r="K341" s="96" t="n"/>
      <c r="L341" s="96" t="n"/>
      <c r="M341" s="218" t="n"/>
      <c r="N341" s="132" t="n"/>
      <c r="O341" s="274">
        <f>IF(K341="","",COUNTIFS($K$12:K341,K341))</f>
        <v/>
      </c>
      <c r="P341" s="93">
        <f>IF(K341="","",K341&amp;"|"&amp;O341)</f>
        <v/>
      </c>
    </row>
    <row r="342" ht="15" customHeight="1" s="134">
      <c r="K342" s="96" t="n"/>
      <c r="L342" s="96" t="n"/>
      <c r="M342" s="218" t="n"/>
      <c r="N342" s="132" t="n"/>
      <c r="O342" s="274">
        <f>IF(K342="","",COUNTIFS($K$12:K342,K342))</f>
        <v/>
      </c>
      <c r="P342" s="93">
        <f>IF(K342="","",K342&amp;"|"&amp;O342)</f>
        <v/>
      </c>
    </row>
    <row r="343" ht="15" customHeight="1" s="134">
      <c r="K343" s="96" t="n"/>
      <c r="L343" s="96" t="n"/>
      <c r="M343" s="218" t="n"/>
      <c r="N343" s="132" t="n"/>
      <c r="O343" s="274">
        <f>IF(K343="","",COUNTIFS($K$12:K343,K343))</f>
        <v/>
      </c>
      <c r="P343" s="93">
        <f>IF(K343="","",K343&amp;"|"&amp;O343)</f>
        <v/>
      </c>
    </row>
    <row r="344" ht="15" customHeight="1" s="134">
      <c r="K344" s="96" t="n"/>
      <c r="L344" s="96" t="n"/>
      <c r="M344" s="218" t="n"/>
      <c r="N344" s="132" t="n"/>
      <c r="O344" s="274">
        <f>IF(K344="","",COUNTIFS($K$12:K344,K344))</f>
        <v/>
      </c>
      <c r="P344" s="93">
        <f>IF(K344="","",K344&amp;"|"&amp;O344)</f>
        <v/>
      </c>
    </row>
    <row r="345" ht="15" customHeight="1" s="134">
      <c r="K345" s="96" t="n"/>
      <c r="L345" s="96" t="n"/>
      <c r="M345" s="218" t="n"/>
      <c r="N345" s="132" t="n"/>
      <c r="O345" s="274">
        <f>IF(K345="","",COUNTIFS($K$12:K345,K345))</f>
        <v/>
      </c>
      <c r="P345" s="93">
        <f>IF(K345="","",K345&amp;"|"&amp;O345)</f>
        <v/>
      </c>
    </row>
    <row r="346" ht="15" customHeight="1" s="134">
      <c r="K346" s="96" t="n"/>
      <c r="L346" s="96" t="n"/>
      <c r="M346" s="218" t="n"/>
      <c r="N346" s="132" t="n"/>
      <c r="O346" s="274">
        <f>IF(K346="","",COUNTIFS($K$12:K346,K346))</f>
        <v/>
      </c>
      <c r="P346" s="93">
        <f>IF(K346="","",K346&amp;"|"&amp;O346)</f>
        <v/>
      </c>
    </row>
    <row r="347" ht="15" customHeight="1" s="134">
      <c r="K347" s="96" t="n"/>
      <c r="L347" s="96" t="n"/>
      <c r="M347" s="218" t="n"/>
      <c r="N347" s="132" t="n"/>
      <c r="O347" s="274">
        <f>IF(K347="","",COUNTIFS($K$12:K347,K347))</f>
        <v/>
      </c>
      <c r="P347" s="93">
        <f>IF(K347="","",K347&amp;"|"&amp;O347)</f>
        <v/>
      </c>
    </row>
    <row r="348" ht="15" customHeight="1" s="134">
      <c r="K348" s="96" t="n"/>
      <c r="L348" s="96" t="n"/>
      <c r="M348" s="218" t="n"/>
      <c r="N348" s="132" t="n"/>
      <c r="O348" s="274">
        <f>IF(K348="","",COUNTIFS($K$12:K348,K348))</f>
        <v/>
      </c>
      <c r="P348" s="93">
        <f>IF(K348="","",K348&amp;"|"&amp;O348)</f>
        <v/>
      </c>
    </row>
    <row r="349" ht="15" customHeight="1" s="134">
      <c r="K349" s="96" t="n"/>
      <c r="L349" s="96" t="n"/>
      <c r="M349" s="218" t="n"/>
      <c r="N349" s="132" t="n"/>
      <c r="O349" s="274">
        <f>IF(K349="","",COUNTIFS($K$12:K349,K349))</f>
        <v/>
      </c>
      <c r="P349" s="93">
        <f>IF(K349="","",K349&amp;"|"&amp;O349)</f>
        <v/>
      </c>
    </row>
    <row r="350" ht="15" customHeight="1" s="134">
      <c r="K350" s="96" t="n"/>
      <c r="L350" s="96" t="n"/>
      <c r="M350" s="218" t="n"/>
      <c r="N350" s="132" t="n"/>
      <c r="O350" s="274">
        <f>IF(K350="","",COUNTIFS($K$12:K350,K350))</f>
        <v/>
      </c>
      <c r="P350" s="93">
        <f>IF(K350="","",K350&amp;"|"&amp;O350)</f>
        <v/>
      </c>
    </row>
    <row r="351" ht="15" customHeight="1" s="134">
      <c r="K351" s="96" t="n"/>
      <c r="L351" s="96" t="n"/>
      <c r="M351" s="218" t="n"/>
      <c r="N351" s="132" t="n"/>
      <c r="O351" s="274">
        <f>IF(K351="","",COUNTIFS($K$12:K351,K351))</f>
        <v/>
      </c>
      <c r="P351" s="93">
        <f>IF(K351="","",K351&amp;"|"&amp;O351)</f>
        <v/>
      </c>
    </row>
    <row r="352" ht="15" customHeight="1" s="134">
      <c r="K352" s="96" t="n"/>
      <c r="L352" s="96" t="n"/>
      <c r="M352" s="218" t="n"/>
      <c r="N352" s="132" t="n"/>
      <c r="O352" s="274">
        <f>IF(K352="","",COUNTIFS($K$12:K352,K352))</f>
        <v/>
      </c>
      <c r="P352" s="93">
        <f>IF(K352="","",K352&amp;"|"&amp;O352)</f>
        <v/>
      </c>
    </row>
    <row r="353" ht="15" customHeight="1" s="134">
      <c r="K353" s="96" t="n"/>
      <c r="L353" s="96" t="n"/>
      <c r="M353" s="218" t="n"/>
      <c r="N353" s="132" t="n"/>
      <c r="O353" s="274">
        <f>IF(K353="","",COUNTIFS($K$12:K353,K353))</f>
        <v/>
      </c>
      <c r="P353" s="93">
        <f>IF(K353="","",K353&amp;"|"&amp;O353)</f>
        <v/>
      </c>
    </row>
    <row r="354" ht="15" customHeight="1" s="134">
      <c r="K354" s="96" t="n"/>
      <c r="L354" s="96" t="n"/>
      <c r="M354" s="218" t="n"/>
      <c r="N354" s="132" t="n"/>
      <c r="O354" s="274">
        <f>IF(K354="","",COUNTIFS($K$12:K354,K354))</f>
        <v/>
      </c>
      <c r="P354" s="93">
        <f>IF(K354="","",K354&amp;"|"&amp;O354)</f>
        <v/>
      </c>
    </row>
    <row r="355" ht="15" customHeight="1" s="134">
      <c r="K355" s="96" t="n"/>
      <c r="L355" s="96" t="n"/>
      <c r="M355" s="218" t="n"/>
      <c r="N355" s="132" t="n"/>
      <c r="O355" s="274">
        <f>IF(K355="","",COUNTIFS($K$12:K355,K355))</f>
        <v/>
      </c>
      <c r="P355" s="93">
        <f>IF(K355="","",K355&amp;"|"&amp;O355)</f>
        <v/>
      </c>
    </row>
    <row r="356" ht="15" customHeight="1" s="134">
      <c r="K356" s="96" t="n"/>
      <c r="L356" s="96" t="n"/>
      <c r="M356" s="218" t="n"/>
      <c r="N356" s="132" t="n"/>
      <c r="O356" s="274">
        <f>IF(K356="","",COUNTIFS($K$12:K356,K356))</f>
        <v/>
      </c>
      <c r="P356" s="93">
        <f>IF(K356="","",K356&amp;"|"&amp;O356)</f>
        <v/>
      </c>
    </row>
    <row r="357" ht="15" customHeight="1" s="134">
      <c r="K357" s="96" t="n"/>
      <c r="L357" s="96" t="n"/>
      <c r="M357" s="218" t="n"/>
      <c r="N357" s="132" t="n"/>
      <c r="O357" s="274">
        <f>IF(K357="","",COUNTIFS($K$12:K357,K357))</f>
        <v/>
      </c>
      <c r="P357" s="93">
        <f>IF(K357="","",K357&amp;"|"&amp;O357)</f>
        <v/>
      </c>
    </row>
    <row r="358" ht="15" customHeight="1" s="134">
      <c r="K358" s="96" t="n"/>
      <c r="L358" s="96" t="n"/>
      <c r="M358" s="218" t="n"/>
      <c r="N358" s="132" t="n"/>
      <c r="O358" s="274">
        <f>IF(K358="","",COUNTIFS($K$12:K358,K358))</f>
        <v/>
      </c>
      <c r="P358" s="93">
        <f>IF(K358="","",K358&amp;"|"&amp;O358)</f>
        <v/>
      </c>
    </row>
    <row r="359" ht="15" customHeight="1" s="134">
      <c r="K359" s="96" t="n"/>
      <c r="L359" s="96" t="n"/>
      <c r="M359" s="218" t="n"/>
      <c r="N359" s="132" t="n"/>
      <c r="O359" s="274">
        <f>IF(K359="","",COUNTIFS($K$12:K359,K359))</f>
        <v/>
      </c>
      <c r="P359" s="93">
        <f>IF(K359="","",K359&amp;"|"&amp;O359)</f>
        <v/>
      </c>
    </row>
    <row r="360" ht="15" customHeight="1" s="134">
      <c r="K360" s="96" t="n"/>
      <c r="L360" s="96" t="n"/>
      <c r="M360" s="218" t="n"/>
      <c r="N360" s="132" t="n"/>
      <c r="O360" s="274">
        <f>IF(K360="","",COUNTIFS($K$12:K360,K360))</f>
        <v/>
      </c>
      <c r="P360" s="93">
        <f>IF(K360="","",K360&amp;"|"&amp;O360)</f>
        <v/>
      </c>
    </row>
    <row r="361" ht="15" customHeight="1" s="134">
      <c r="K361" s="96" t="n"/>
      <c r="L361" s="96" t="n"/>
      <c r="M361" s="218" t="n"/>
      <c r="N361" s="132" t="n"/>
      <c r="O361" s="274">
        <f>IF(K361="","",COUNTIFS($K$12:K361,K361))</f>
        <v/>
      </c>
      <c r="P361" s="93">
        <f>IF(K361="","",K361&amp;"|"&amp;O361)</f>
        <v/>
      </c>
    </row>
    <row r="362" ht="15" customHeight="1" s="134">
      <c r="K362" s="96" t="n"/>
      <c r="L362" s="96" t="n"/>
      <c r="M362" s="218" t="n"/>
      <c r="N362" s="132" t="n"/>
      <c r="O362" s="274">
        <f>IF(K362="","",COUNTIFS($K$12:K362,K362))</f>
        <v/>
      </c>
      <c r="P362" s="93">
        <f>IF(K362="","",K362&amp;"|"&amp;O362)</f>
        <v/>
      </c>
    </row>
    <row r="363" ht="15" customHeight="1" s="134">
      <c r="K363" s="96" t="n"/>
      <c r="L363" s="96" t="n"/>
      <c r="M363" s="218" t="n"/>
      <c r="N363" s="132" t="n"/>
      <c r="O363" s="274">
        <f>IF(K363="","",COUNTIFS($K$12:K363,K363))</f>
        <v/>
      </c>
      <c r="P363" s="93">
        <f>IF(K363="","",K363&amp;"|"&amp;O363)</f>
        <v/>
      </c>
    </row>
    <row r="364" ht="15" customHeight="1" s="134">
      <c r="K364" s="96" t="n"/>
      <c r="L364" s="96" t="n"/>
      <c r="M364" s="218" t="n"/>
      <c r="N364" s="132" t="n"/>
      <c r="O364" s="274">
        <f>IF(K364="","",COUNTIFS($K$12:K364,K364))</f>
        <v/>
      </c>
      <c r="P364" s="93">
        <f>IF(K364="","",K364&amp;"|"&amp;O364)</f>
        <v/>
      </c>
    </row>
    <row r="365" ht="15" customHeight="1" s="134">
      <c r="K365" s="96" t="n"/>
      <c r="L365" s="96" t="n"/>
      <c r="M365" s="218" t="n"/>
      <c r="N365" s="132" t="n"/>
      <c r="O365" s="274">
        <f>IF(K365="","",COUNTIFS($K$12:K365,K365))</f>
        <v/>
      </c>
      <c r="P365" s="93">
        <f>IF(K365="","",K365&amp;"|"&amp;O365)</f>
        <v/>
      </c>
    </row>
    <row r="366" ht="15" customHeight="1" s="134">
      <c r="K366" s="96" t="n"/>
      <c r="L366" s="96" t="n"/>
      <c r="M366" s="218" t="n"/>
      <c r="N366" s="132" t="n"/>
      <c r="O366" s="274">
        <f>IF(K366="","",COUNTIFS($K$12:K366,K366))</f>
        <v/>
      </c>
      <c r="P366" s="93">
        <f>IF(K366="","",K366&amp;"|"&amp;O366)</f>
        <v/>
      </c>
    </row>
    <row r="367" ht="15" customHeight="1" s="134">
      <c r="K367" s="96" t="n"/>
      <c r="L367" s="96" t="n"/>
      <c r="M367" s="218" t="n"/>
      <c r="N367" s="132" t="n"/>
      <c r="O367" s="274">
        <f>IF(K367="","",COUNTIFS($K$12:K367,K367))</f>
        <v/>
      </c>
      <c r="P367" s="93">
        <f>IF(K367="","",K367&amp;"|"&amp;O367)</f>
        <v/>
      </c>
    </row>
    <row r="368" ht="15" customHeight="1" s="134">
      <c r="K368" s="96" t="n"/>
      <c r="L368" s="96" t="n"/>
      <c r="M368" s="218" t="n"/>
      <c r="N368" s="132" t="n"/>
      <c r="O368" s="274">
        <f>IF(K368="","",COUNTIFS($K$12:K368,K368))</f>
        <v/>
      </c>
      <c r="P368" s="93">
        <f>IF(K368="","",K368&amp;"|"&amp;O368)</f>
        <v/>
      </c>
    </row>
    <row r="369" ht="15" customHeight="1" s="134">
      <c r="K369" s="96" t="n"/>
      <c r="L369" s="96" t="n"/>
      <c r="M369" s="218" t="n"/>
      <c r="N369" s="132" t="n"/>
      <c r="O369" s="274">
        <f>IF(K369="","",COUNTIFS($K$12:K369,K369))</f>
        <v/>
      </c>
      <c r="P369" s="93">
        <f>IF(K369="","",K369&amp;"|"&amp;O369)</f>
        <v/>
      </c>
    </row>
    <row r="370" ht="15" customHeight="1" s="134">
      <c r="K370" s="96" t="n"/>
      <c r="L370" s="96" t="n"/>
      <c r="M370" s="218" t="n"/>
      <c r="N370" s="132" t="n"/>
      <c r="O370" s="274">
        <f>IF(K370="","",COUNTIFS($K$12:K370,K370))</f>
        <v/>
      </c>
      <c r="P370" s="93">
        <f>IF(K370="","",K370&amp;"|"&amp;O370)</f>
        <v/>
      </c>
    </row>
    <row r="371" ht="15" customHeight="1" s="134">
      <c r="K371" s="96" t="n"/>
      <c r="L371" s="96" t="n"/>
      <c r="M371" s="218" t="n"/>
      <c r="N371" s="132" t="n"/>
      <c r="O371" s="274">
        <f>IF(K371="","",COUNTIFS($K$12:K371,K371))</f>
        <v/>
      </c>
      <c r="P371" s="93">
        <f>IF(K371="","",K371&amp;"|"&amp;O371)</f>
        <v/>
      </c>
    </row>
    <row r="372" ht="15" customHeight="1" s="134">
      <c r="K372" s="96" t="n"/>
      <c r="L372" s="96" t="n"/>
      <c r="M372" s="218" t="n"/>
      <c r="N372" s="132" t="n"/>
      <c r="O372" s="274">
        <f>IF(K372="","",COUNTIFS($K$12:K372,K372))</f>
        <v/>
      </c>
      <c r="P372" s="93">
        <f>IF(K372="","",K372&amp;"|"&amp;O372)</f>
        <v/>
      </c>
    </row>
    <row r="373" ht="15" customHeight="1" s="134">
      <c r="K373" s="96" t="n"/>
      <c r="L373" s="96" t="n"/>
      <c r="M373" s="218" t="n"/>
      <c r="N373" s="132" t="n"/>
      <c r="O373" s="274">
        <f>IF(K373="","",COUNTIFS($K$12:K373,K373))</f>
        <v/>
      </c>
      <c r="P373" s="93">
        <f>IF(K373="","",K373&amp;"|"&amp;O373)</f>
        <v/>
      </c>
    </row>
    <row r="374" ht="15" customHeight="1" s="134">
      <c r="K374" s="96" t="n"/>
      <c r="L374" s="96" t="n"/>
      <c r="M374" s="218" t="n"/>
      <c r="N374" s="132" t="n"/>
      <c r="O374" s="274">
        <f>IF(K374="","",COUNTIFS($K$12:K374,K374))</f>
        <v/>
      </c>
      <c r="P374" s="93">
        <f>IF(K374="","",K374&amp;"|"&amp;O374)</f>
        <v/>
      </c>
    </row>
    <row r="375" ht="15" customHeight="1" s="134">
      <c r="K375" s="96" t="n"/>
      <c r="L375" s="96" t="n"/>
      <c r="M375" s="218" t="n"/>
      <c r="N375" s="132" t="n"/>
      <c r="O375" s="274">
        <f>IF(K375="","",COUNTIFS($K$12:K375,K375))</f>
        <v/>
      </c>
      <c r="P375" s="93">
        <f>IF(K375="","",K375&amp;"|"&amp;O375)</f>
        <v/>
      </c>
    </row>
    <row r="376" ht="15" customHeight="1" s="134">
      <c r="K376" s="96" t="n"/>
      <c r="L376" s="96" t="n"/>
      <c r="M376" s="218" t="n"/>
      <c r="N376" s="132" t="n"/>
      <c r="O376" s="274">
        <f>IF(K376="","",COUNTIFS($K$12:K376,K376))</f>
        <v/>
      </c>
      <c r="P376" s="93">
        <f>IF(K376="","",K376&amp;"|"&amp;O376)</f>
        <v/>
      </c>
    </row>
    <row r="377" ht="15" customHeight="1" s="134">
      <c r="K377" s="96" t="n"/>
      <c r="L377" s="96" t="n"/>
      <c r="M377" s="218" t="n"/>
      <c r="N377" s="132" t="n"/>
      <c r="O377" s="274">
        <f>IF(K377="","",COUNTIFS($K$12:K377,K377))</f>
        <v/>
      </c>
      <c r="P377" s="93">
        <f>IF(K377="","",K377&amp;"|"&amp;O377)</f>
        <v/>
      </c>
    </row>
    <row r="378" ht="15" customHeight="1" s="134">
      <c r="K378" s="96" t="n"/>
      <c r="L378" s="96" t="n"/>
      <c r="M378" s="218" t="n"/>
      <c r="N378" s="132" t="n"/>
      <c r="O378" s="274">
        <f>IF(K378="","",COUNTIFS($K$12:K378,K378))</f>
        <v/>
      </c>
      <c r="P378" s="93">
        <f>IF(K378="","",K378&amp;"|"&amp;O378)</f>
        <v/>
      </c>
    </row>
    <row r="379" ht="15" customHeight="1" s="134">
      <c r="K379" s="96" t="n"/>
      <c r="L379" s="96" t="n"/>
      <c r="M379" s="218" t="n"/>
      <c r="N379" s="132" t="n"/>
      <c r="O379" s="274">
        <f>IF(K379="","",COUNTIFS($K$12:K379,K379))</f>
        <v/>
      </c>
      <c r="P379" s="93">
        <f>IF(K379="","",K379&amp;"|"&amp;O379)</f>
        <v/>
      </c>
    </row>
    <row r="380" ht="15" customHeight="1" s="134">
      <c r="K380" s="96" t="n"/>
      <c r="L380" s="96" t="n"/>
      <c r="M380" s="218" t="n"/>
      <c r="N380" s="132" t="n"/>
      <c r="O380" s="274">
        <f>IF(K380="","",COUNTIFS($K$12:K380,K380))</f>
        <v/>
      </c>
      <c r="P380" s="93">
        <f>IF(K380="","",K380&amp;"|"&amp;O380)</f>
        <v/>
      </c>
    </row>
    <row r="381" ht="15" customHeight="1" s="134">
      <c r="K381" s="96" t="n"/>
      <c r="L381" s="96" t="n"/>
      <c r="M381" s="218" t="n"/>
      <c r="N381" s="132" t="n"/>
      <c r="O381" s="274">
        <f>IF(K381="","",COUNTIFS($K$12:K381,K381))</f>
        <v/>
      </c>
      <c r="P381" s="93">
        <f>IF(K381="","",K381&amp;"|"&amp;O381)</f>
        <v/>
      </c>
    </row>
    <row r="382" ht="15" customHeight="1" s="134">
      <c r="K382" s="96" t="n"/>
      <c r="L382" s="96" t="n"/>
      <c r="M382" s="218" t="n"/>
      <c r="N382" s="132" t="n"/>
      <c r="O382" s="274">
        <f>IF(K382="","",COUNTIFS($K$12:K382,K382))</f>
        <v/>
      </c>
      <c r="P382" s="93">
        <f>IF(K382="","",K382&amp;"|"&amp;O382)</f>
        <v/>
      </c>
    </row>
    <row r="383" ht="15" customHeight="1" s="134">
      <c r="K383" s="96" t="n"/>
      <c r="L383" s="96" t="n"/>
      <c r="M383" s="218" t="n"/>
      <c r="N383" s="132" t="n"/>
      <c r="O383" s="274">
        <f>IF(K383="","",COUNTIFS($K$12:K383,K383))</f>
        <v/>
      </c>
      <c r="P383" s="93">
        <f>IF(K383="","",K383&amp;"|"&amp;O383)</f>
        <v/>
      </c>
    </row>
    <row r="384" ht="15" customHeight="1" s="134">
      <c r="K384" s="96" t="n"/>
      <c r="L384" s="96" t="n"/>
      <c r="M384" s="218" t="n"/>
      <c r="N384" s="132" t="n"/>
      <c r="O384" s="274">
        <f>IF(K384="","",COUNTIFS($K$12:K384,K384))</f>
        <v/>
      </c>
      <c r="P384" s="93">
        <f>IF(K384="","",K384&amp;"|"&amp;O384)</f>
        <v/>
      </c>
    </row>
    <row r="385" ht="15" customHeight="1" s="134">
      <c r="K385" s="96" t="n"/>
      <c r="L385" s="96" t="n"/>
      <c r="M385" s="218" t="n"/>
      <c r="N385" s="132" t="n"/>
      <c r="O385" s="274">
        <f>IF(K385="","",COUNTIFS($K$12:K385,K385))</f>
        <v/>
      </c>
      <c r="P385" s="93">
        <f>IF(K385="","",K385&amp;"|"&amp;O385)</f>
        <v/>
      </c>
    </row>
    <row r="386" ht="15" customHeight="1" s="134">
      <c r="K386" s="96" t="n"/>
      <c r="L386" s="96" t="n"/>
      <c r="M386" s="218" t="n"/>
      <c r="N386" s="132" t="n"/>
      <c r="O386" s="274">
        <f>IF(K386="","",COUNTIFS($K$12:K386,K386))</f>
        <v/>
      </c>
      <c r="P386" s="93">
        <f>IF(K386="","",K386&amp;"|"&amp;O386)</f>
        <v/>
      </c>
    </row>
    <row r="387" ht="15" customHeight="1" s="134">
      <c r="K387" s="96" t="n"/>
      <c r="L387" s="96" t="n"/>
      <c r="M387" s="218" t="n"/>
      <c r="N387" s="132" t="n"/>
      <c r="O387" s="274">
        <f>IF(K387="","",COUNTIFS($K$12:K387,K387))</f>
        <v/>
      </c>
      <c r="P387" s="93">
        <f>IF(K387="","",K387&amp;"|"&amp;O387)</f>
        <v/>
      </c>
    </row>
    <row r="388" ht="15" customHeight="1" s="134">
      <c r="K388" s="96" t="n"/>
      <c r="L388" s="96" t="n"/>
      <c r="M388" s="218" t="n"/>
      <c r="N388" s="132" t="n"/>
      <c r="O388" s="274">
        <f>IF(K388="","",COUNTIFS($K$12:K388,K388))</f>
        <v/>
      </c>
      <c r="P388" s="93">
        <f>IF(K388="","",K388&amp;"|"&amp;O388)</f>
        <v/>
      </c>
    </row>
    <row r="389" ht="15" customHeight="1" s="134">
      <c r="K389" s="96" t="n"/>
      <c r="L389" s="96" t="n"/>
      <c r="M389" s="218" t="n"/>
      <c r="N389" s="132" t="n"/>
      <c r="O389" s="274">
        <f>IF(K389="","",COUNTIFS($K$12:K389,K389))</f>
        <v/>
      </c>
      <c r="P389" s="93">
        <f>IF(K389="","",K389&amp;"|"&amp;O389)</f>
        <v/>
      </c>
    </row>
    <row r="390" ht="15" customHeight="1" s="134">
      <c r="K390" s="96" t="n"/>
      <c r="L390" s="96" t="n"/>
      <c r="M390" s="218" t="n"/>
      <c r="N390" s="132" t="n"/>
      <c r="O390" s="274">
        <f>IF(K390="","",COUNTIFS($K$12:K390,K390))</f>
        <v/>
      </c>
      <c r="P390" s="93">
        <f>IF(K390="","",K390&amp;"|"&amp;O390)</f>
        <v/>
      </c>
    </row>
    <row r="391" ht="15" customHeight="1" s="134">
      <c r="K391" s="96" t="n"/>
      <c r="L391" s="96" t="n"/>
      <c r="M391" s="218" t="n"/>
      <c r="N391" s="132" t="n"/>
      <c r="O391" s="274">
        <f>IF(K391="","",COUNTIFS($K$12:K391,K391))</f>
        <v/>
      </c>
      <c r="P391" s="93">
        <f>IF(K391="","",K391&amp;"|"&amp;O391)</f>
        <v/>
      </c>
    </row>
    <row r="392" ht="15" customHeight="1" s="134">
      <c r="K392" s="96" t="n"/>
      <c r="L392" s="96" t="n"/>
      <c r="M392" s="218" t="n"/>
      <c r="N392" s="132" t="n"/>
      <c r="O392" s="274">
        <f>IF(K392="","",COUNTIFS($K$12:K392,K392))</f>
        <v/>
      </c>
      <c r="P392" s="93">
        <f>IF(K392="","",K392&amp;"|"&amp;O392)</f>
        <v/>
      </c>
    </row>
    <row r="393" ht="15" customHeight="1" s="134">
      <c r="K393" s="96" t="n"/>
      <c r="L393" s="96" t="n"/>
      <c r="M393" s="218" t="n"/>
      <c r="N393" s="132" t="n"/>
      <c r="O393" s="274">
        <f>IF(K393="","",COUNTIFS($K$12:K393,K393))</f>
        <v/>
      </c>
      <c r="P393" s="93">
        <f>IF(K393="","",K393&amp;"|"&amp;O393)</f>
        <v/>
      </c>
    </row>
    <row r="394" ht="15" customHeight="1" s="134">
      <c r="K394" s="96" t="n"/>
      <c r="L394" s="96" t="n"/>
      <c r="M394" s="218" t="n"/>
      <c r="N394" s="132" t="n"/>
      <c r="O394" s="274">
        <f>IF(K394="","",COUNTIFS($K$12:K394,K394))</f>
        <v/>
      </c>
      <c r="P394" s="93">
        <f>IF(K394="","",K394&amp;"|"&amp;O394)</f>
        <v/>
      </c>
    </row>
    <row r="395" ht="15" customHeight="1" s="134">
      <c r="K395" s="96" t="n"/>
      <c r="L395" s="96" t="n"/>
      <c r="M395" s="218" t="n"/>
      <c r="N395" s="132" t="n"/>
      <c r="O395" s="274">
        <f>IF(K395="","",COUNTIFS($K$12:K395,K395))</f>
        <v/>
      </c>
      <c r="P395" s="93">
        <f>IF(K395="","",K395&amp;"|"&amp;O395)</f>
        <v/>
      </c>
    </row>
    <row r="396" ht="15" customHeight="1" s="134">
      <c r="K396" s="96" t="n"/>
      <c r="L396" s="96" t="n"/>
      <c r="M396" s="218" t="n"/>
      <c r="N396" s="132" t="n"/>
      <c r="O396" s="274">
        <f>IF(K396="","",COUNTIFS($K$12:K396,K396))</f>
        <v/>
      </c>
      <c r="P396" s="93">
        <f>IF(K396="","",K396&amp;"|"&amp;O396)</f>
        <v/>
      </c>
    </row>
    <row r="397" ht="15" customHeight="1" s="134">
      <c r="K397" s="96" t="n"/>
      <c r="L397" s="96" t="n"/>
      <c r="M397" s="218" t="n"/>
      <c r="N397" s="132" t="n"/>
      <c r="O397" s="274">
        <f>IF(K397="","",COUNTIFS($K$12:K397,K397))</f>
        <v/>
      </c>
      <c r="P397" s="93">
        <f>IF(K397="","",K397&amp;"|"&amp;O397)</f>
        <v/>
      </c>
    </row>
    <row r="398" ht="15" customHeight="1" s="134">
      <c r="K398" s="96" t="n"/>
      <c r="L398" s="96" t="n"/>
      <c r="M398" s="218" t="n"/>
      <c r="N398" s="132" t="n"/>
      <c r="O398" s="274">
        <f>IF(K398="","",COUNTIFS($K$12:K398,K398))</f>
        <v/>
      </c>
      <c r="P398" s="93">
        <f>IF(K398="","",K398&amp;"|"&amp;O398)</f>
        <v/>
      </c>
    </row>
    <row r="399" ht="15" customHeight="1" s="134">
      <c r="K399" s="96" t="n"/>
      <c r="L399" s="96" t="n"/>
      <c r="M399" s="218" t="n"/>
      <c r="N399" s="132" t="n"/>
      <c r="O399" s="274">
        <f>IF(K399="","",COUNTIFS($K$12:K399,K399))</f>
        <v/>
      </c>
      <c r="P399" s="93">
        <f>IF(K399="","",K399&amp;"|"&amp;O399)</f>
        <v/>
      </c>
    </row>
    <row r="400" ht="15" customHeight="1" s="134">
      <c r="K400" s="96" t="n"/>
      <c r="L400" s="96" t="n"/>
      <c r="M400" s="218" t="n"/>
      <c r="N400" s="132" t="n"/>
      <c r="O400" s="274">
        <f>IF(K400="","",COUNTIFS($K$12:K400,K400))</f>
        <v/>
      </c>
      <c r="P400" s="93">
        <f>IF(K400="","",K400&amp;"|"&amp;O400)</f>
        <v/>
      </c>
    </row>
    <row r="401" ht="15" customHeight="1" s="134">
      <c r="K401" s="96" t="n"/>
      <c r="L401" s="96" t="n"/>
      <c r="M401" s="218" t="n"/>
      <c r="N401" s="132" t="n"/>
      <c r="O401" s="274">
        <f>IF(K401="","",COUNTIFS($K$12:K401,K401))</f>
        <v/>
      </c>
      <c r="P401" s="93">
        <f>IF(K401="","",K401&amp;"|"&amp;O401)</f>
        <v/>
      </c>
    </row>
    <row r="402" ht="15" customHeight="1" s="134">
      <c r="K402" s="96" t="n"/>
      <c r="L402" s="96" t="n"/>
      <c r="M402" s="218" t="n"/>
      <c r="N402" s="132" t="n"/>
      <c r="O402" s="274">
        <f>IF(K402="","",COUNTIFS($K$12:K402,K402))</f>
        <v/>
      </c>
      <c r="P402" s="93">
        <f>IF(K402="","",K402&amp;"|"&amp;O402)</f>
        <v/>
      </c>
    </row>
    <row r="403" ht="15" customHeight="1" s="134">
      <c r="K403" s="96" t="n"/>
      <c r="L403" s="96" t="n"/>
      <c r="M403" s="218" t="n"/>
      <c r="N403" s="132" t="n"/>
      <c r="O403" s="274">
        <f>IF(K403="","",COUNTIFS($K$12:K403,K403))</f>
        <v/>
      </c>
      <c r="P403" s="93">
        <f>IF(K403="","",K403&amp;"|"&amp;O403)</f>
        <v/>
      </c>
    </row>
    <row r="404" ht="15" customHeight="1" s="134">
      <c r="K404" s="96" t="n"/>
      <c r="L404" s="96" t="n"/>
      <c r="M404" s="218" t="n"/>
      <c r="N404" s="132" t="n"/>
      <c r="O404" s="274">
        <f>IF(K404="","",COUNTIFS($K$12:K404,K404))</f>
        <v/>
      </c>
      <c r="P404" s="93">
        <f>IF(K404="","",K404&amp;"|"&amp;O404)</f>
        <v/>
      </c>
    </row>
    <row r="405" ht="15" customHeight="1" s="134">
      <c r="K405" s="96" t="n"/>
      <c r="L405" s="96" t="n"/>
      <c r="M405" s="218" t="n"/>
      <c r="N405" s="132" t="n"/>
      <c r="O405" s="274">
        <f>IF(K405="","",COUNTIFS($K$12:K405,K405))</f>
        <v/>
      </c>
      <c r="P405" s="93">
        <f>IF(K405="","",K405&amp;"|"&amp;O405)</f>
        <v/>
      </c>
    </row>
    <row r="406" ht="15" customHeight="1" s="134">
      <c r="K406" s="96" t="n"/>
      <c r="L406" s="96" t="n"/>
      <c r="M406" s="218" t="n"/>
      <c r="N406" s="132" t="n"/>
      <c r="O406" s="274">
        <f>IF(K406="","",COUNTIFS($K$12:K406,K406))</f>
        <v/>
      </c>
      <c r="P406" s="93">
        <f>IF(K406="","",K406&amp;"|"&amp;O406)</f>
        <v/>
      </c>
    </row>
    <row r="407" ht="15" customHeight="1" s="134">
      <c r="K407" s="96" t="n"/>
      <c r="L407" s="96" t="n"/>
      <c r="M407" s="218" t="n"/>
      <c r="N407" s="132" t="n"/>
      <c r="O407" s="274">
        <f>IF(K407="","",COUNTIFS($K$12:K407,K407))</f>
        <v/>
      </c>
      <c r="P407" s="93">
        <f>IF(K407="","",K407&amp;"|"&amp;O407)</f>
        <v/>
      </c>
    </row>
    <row r="408" ht="15" customHeight="1" s="134">
      <c r="K408" s="96" t="n"/>
      <c r="L408" s="96" t="n"/>
      <c r="M408" s="218" t="n"/>
      <c r="N408" s="132" t="n"/>
      <c r="O408" s="274">
        <f>IF(K408="","",COUNTIFS($K$12:K408,K408))</f>
        <v/>
      </c>
      <c r="P408" s="93">
        <f>IF(K408="","",K408&amp;"|"&amp;O408)</f>
        <v/>
      </c>
    </row>
    <row r="409" ht="15" customHeight="1" s="134">
      <c r="K409" s="96" t="n"/>
      <c r="L409" s="96" t="n"/>
      <c r="M409" s="218" t="n"/>
      <c r="N409" s="132" t="n"/>
      <c r="O409" s="274">
        <f>IF(K409="","",COUNTIFS($K$12:K409,K409))</f>
        <v/>
      </c>
      <c r="P409" s="93">
        <f>IF(K409="","",K409&amp;"|"&amp;O409)</f>
        <v/>
      </c>
    </row>
    <row r="410" ht="15" customHeight="1" s="134">
      <c r="K410" s="96" t="n"/>
      <c r="L410" s="96" t="n"/>
      <c r="M410" s="218" t="n"/>
      <c r="N410" s="132" t="n"/>
      <c r="O410" s="274">
        <f>IF(K410="","",COUNTIFS($K$12:K410,K410))</f>
        <v/>
      </c>
      <c r="P410" s="93">
        <f>IF(K410="","",K410&amp;"|"&amp;O410)</f>
        <v/>
      </c>
    </row>
    <row r="411" ht="15" customHeight="1" s="134">
      <c r="K411" s="96" t="n"/>
      <c r="L411" s="96" t="n"/>
      <c r="M411" s="218" t="n"/>
      <c r="N411" s="132" t="n"/>
      <c r="O411" s="274">
        <f>IF(K411="","",COUNTIFS($K$12:K411,K411))</f>
        <v/>
      </c>
      <c r="P411" s="93">
        <f>IF(K411="","",K411&amp;"|"&amp;O411)</f>
        <v/>
      </c>
    </row>
    <row r="412" ht="15" customHeight="1" s="134">
      <c r="K412" s="96" t="n"/>
      <c r="L412" s="96" t="n"/>
      <c r="M412" s="218" t="n"/>
      <c r="N412" s="132" t="n"/>
      <c r="O412" s="274">
        <f>IF(K412="","",COUNTIFS($K$12:K412,K412))</f>
        <v/>
      </c>
      <c r="P412" s="93">
        <f>IF(K412="","",K412&amp;"|"&amp;O412)</f>
        <v/>
      </c>
    </row>
    <row r="413" ht="15" customHeight="1" s="134">
      <c r="K413" s="96" t="n"/>
      <c r="L413" s="96" t="n"/>
      <c r="M413" s="218" t="n"/>
      <c r="N413" s="132" t="n"/>
      <c r="O413" s="274">
        <f>IF(K413="","",COUNTIFS($K$12:K413,K413))</f>
        <v/>
      </c>
      <c r="P413" s="93">
        <f>IF(K413="","",K413&amp;"|"&amp;O413)</f>
        <v/>
      </c>
    </row>
    <row r="414" ht="15" customHeight="1" s="134">
      <c r="K414" s="96" t="n"/>
      <c r="L414" s="96" t="n"/>
      <c r="M414" s="218" t="n"/>
      <c r="N414" s="132" t="n"/>
      <c r="O414" s="274">
        <f>IF(K414="","",COUNTIFS($K$12:K414,K414))</f>
        <v/>
      </c>
      <c r="P414" s="93">
        <f>IF(K414="","",K414&amp;"|"&amp;O414)</f>
        <v/>
      </c>
    </row>
    <row r="415" ht="15" customHeight="1" s="134">
      <c r="K415" s="96" t="n"/>
      <c r="L415" s="96" t="n"/>
      <c r="M415" s="218" t="n"/>
      <c r="N415" s="132" t="n"/>
      <c r="O415" s="274">
        <f>IF(K415="","",COUNTIFS($K$12:K415,K415))</f>
        <v/>
      </c>
      <c r="P415" s="93">
        <f>IF(K415="","",K415&amp;"|"&amp;O415)</f>
        <v/>
      </c>
    </row>
    <row r="416" ht="15" customHeight="1" s="134">
      <c r="K416" s="96" t="n"/>
      <c r="L416" s="96" t="n"/>
      <c r="M416" s="218" t="n"/>
      <c r="N416" s="132" t="n"/>
      <c r="O416" s="274">
        <f>IF(K416="","",COUNTIFS($K$12:K416,K416))</f>
        <v/>
      </c>
      <c r="P416" s="93">
        <f>IF(K416="","",K416&amp;"|"&amp;O416)</f>
        <v/>
      </c>
    </row>
    <row r="417" ht="15" customHeight="1" s="134">
      <c r="K417" s="96" t="n"/>
      <c r="L417" s="96" t="n"/>
      <c r="M417" s="218" t="n"/>
      <c r="N417" s="132" t="n"/>
      <c r="O417" s="274">
        <f>IF(K417="","",COUNTIFS($K$12:K417,K417))</f>
        <v/>
      </c>
      <c r="P417" s="93">
        <f>IF(K417="","",K417&amp;"|"&amp;O417)</f>
        <v/>
      </c>
    </row>
    <row r="418" ht="15" customHeight="1" s="134">
      <c r="K418" s="96" t="n"/>
      <c r="L418" s="96" t="n"/>
      <c r="M418" s="218" t="n"/>
      <c r="N418" s="132" t="n"/>
      <c r="O418" s="274">
        <f>IF(K418="","",COUNTIFS($K$12:K418,K418))</f>
        <v/>
      </c>
      <c r="P418" s="93">
        <f>IF(K418="","",K418&amp;"|"&amp;O418)</f>
        <v/>
      </c>
    </row>
    <row r="419" ht="15" customHeight="1" s="134">
      <c r="K419" s="96" t="n"/>
      <c r="L419" s="96" t="n"/>
      <c r="M419" s="218" t="n"/>
      <c r="N419" s="132" t="n"/>
      <c r="O419" s="274">
        <f>IF(K419="","",COUNTIFS($K$12:K419,K419))</f>
        <v/>
      </c>
      <c r="P419" s="93">
        <f>IF(K419="","",K419&amp;"|"&amp;O419)</f>
        <v/>
      </c>
    </row>
    <row r="420" ht="15" customHeight="1" s="134">
      <c r="K420" s="96" t="n"/>
      <c r="L420" s="96" t="n"/>
      <c r="M420" s="218" t="n"/>
      <c r="N420" s="132" t="n"/>
      <c r="O420" s="274">
        <f>IF(K420="","",COUNTIFS($K$12:K420,K420))</f>
        <v/>
      </c>
      <c r="P420" s="93">
        <f>IF(K420="","",K420&amp;"|"&amp;O420)</f>
        <v/>
      </c>
    </row>
    <row r="421" ht="15" customHeight="1" s="134">
      <c r="K421" s="96" t="n"/>
      <c r="L421" s="96" t="n"/>
      <c r="M421" s="218" t="n"/>
      <c r="N421" s="132" t="n"/>
      <c r="O421" s="274">
        <f>IF(K421="","",COUNTIFS($K$12:K421,K421))</f>
        <v/>
      </c>
      <c r="P421" s="93">
        <f>IF(K421="","",K421&amp;"|"&amp;O421)</f>
        <v/>
      </c>
    </row>
    <row r="422" ht="15" customHeight="1" s="134">
      <c r="K422" s="96" t="n"/>
      <c r="L422" s="96" t="n"/>
      <c r="M422" s="218" t="n"/>
      <c r="N422" s="132" t="n"/>
      <c r="O422" s="274">
        <f>IF(K422="","",COUNTIFS($K$12:K422,K422))</f>
        <v/>
      </c>
      <c r="P422" s="93">
        <f>IF(K422="","",K422&amp;"|"&amp;O422)</f>
        <v/>
      </c>
    </row>
    <row r="423" ht="15" customHeight="1" s="134">
      <c r="K423" s="96" t="n"/>
      <c r="L423" s="96" t="n"/>
      <c r="M423" s="218" t="n"/>
      <c r="N423" s="132" t="n"/>
      <c r="O423" s="274">
        <f>IF(K423="","",COUNTIFS($K$12:K423,K423))</f>
        <v/>
      </c>
      <c r="P423" s="93">
        <f>IF(K423="","",K423&amp;"|"&amp;O423)</f>
        <v/>
      </c>
    </row>
    <row r="424" ht="15" customHeight="1" s="134">
      <c r="K424" s="96" t="n"/>
      <c r="L424" s="96" t="n"/>
      <c r="M424" s="218" t="n"/>
      <c r="N424" s="132" t="n"/>
      <c r="O424" s="274">
        <f>IF(K424="","",COUNTIFS($K$12:K424,K424))</f>
        <v/>
      </c>
      <c r="P424" s="93">
        <f>IF(K424="","",K424&amp;"|"&amp;O424)</f>
        <v/>
      </c>
    </row>
    <row r="425" ht="15" customHeight="1" s="134">
      <c r="K425" s="96" t="n"/>
      <c r="L425" s="96" t="n"/>
      <c r="M425" s="218" t="n"/>
      <c r="N425" s="132" t="n"/>
      <c r="O425" s="274">
        <f>IF(K425="","",COUNTIFS($K$12:K425,K425))</f>
        <v/>
      </c>
      <c r="P425" s="93">
        <f>IF(K425="","",K425&amp;"|"&amp;O425)</f>
        <v/>
      </c>
    </row>
    <row r="426" ht="15" customHeight="1" s="134">
      <c r="K426" s="96" t="n"/>
      <c r="L426" s="96" t="n"/>
      <c r="M426" s="218" t="n"/>
      <c r="N426" s="132" t="n"/>
      <c r="O426" s="274">
        <f>IF(K426="","",COUNTIFS($K$12:K426,K426))</f>
        <v/>
      </c>
      <c r="P426" s="93">
        <f>IF(K426="","",K426&amp;"|"&amp;O426)</f>
        <v/>
      </c>
    </row>
    <row r="427" ht="15" customHeight="1" s="134">
      <c r="K427" s="96" t="n"/>
      <c r="L427" s="96" t="n"/>
      <c r="M427" s="218" t="n"/>
      <c r="N427" s="132" t="n"/>
      <c r="O427" s="274">
        <f>IF(K427="","",COUNTIFS($K$12:K427,K427))</f>
        <v/>
      </c>
      <c r="P427" s="93">
        <f>IF(K427="","",K427&amp;"|"&amp;O427)</f>
        <v/>
      </c>
    </row>
    <row r="428" ht="15" customHeight="1" s="134">
      <c r="K428" s="96" t="n"/>
      <c r="L428" s="96" t="n"/>
      <c r="M428" s="218" t="n"/>
      <c r="N428" s="132" t="n"/>
      <c r="O428" s="274">
        <f>IF(K428="","",COUNTIFS($K$12:K428,K428))</f>
        <v/>
      </c>
      <c r="P428" s="93">
        <f>IF(K428="","",K428&amp;"|"&amp;O428)</f>
        <v/>
      </c>
    </row>
    <row r="429" ht="15" customHeight="1" s="134">
      <c r="K429" s="96" t="n"/>
      <c r="L429" s="96" t="n"/>
      <c r="M429" s="218" t="n"/>
      <c r="N429" s="132" t="n"/>
      <c r="O429" s="274">
        <f>IF(K429="","",COUNTIFS($K$12:K429,K429))</f>
        <v/>
      </c>
      <c r="P429" s="93">
        <f>IF(K429="","",K429&amp;"|"&amp;O429)</f>
        <v/>
      </c>
    </row>
    <row r="430" ht="15" customHeight="1" s="134">
      <c r="K430" s="96" t="n"/>
      <c r="L430" s="96" t="n"/>
      <c r="M430" s="218" t="n"/>
      <c r="N430" s="132" t="n"/>
      <c r="O430" s="274">
        <f>IF(K430="","",COUNTIFS($K$12:K430,K430))</f>
        <v/>
      </c>
      <c r="P430" s="93">
        <f>IF(K430="","",K430&amp;"|"&amp;O430)</f>
        <v/>
      </c>
    </row>
    <row r="431" ht="15" customHeight="1" s="134">
      <c r="K431" s="96" t="n"/>
      <c r="L431" s="96" t="n"/>
      <c r="M431" s="218" t="n"/>
      <c r="N431" s="132" t="n"/>
      <c r="O431" s="274">
        <f>IF(K431="","",COUNTIFS($K$12:K431,K431))</f>
        <v/>
      </c>
      <c r="P431" s="93">
        <f>IF(K431="","",K431&amp;"|"&amp;O431)</f>
        <v/>
      </c>
    </row>
    <row r="432" ht="15" customHeight="1" s="134">
      <c r="K432" s="96" t="n"/>
      <c r="L432" s="96" t="n"/>
      <c r="M432" s="218" t="n"/>
      <c r="N432" s="132" t="n"/>
      <c r="O432" s="274">
        <f>IF(K432="","",COUNTIFS($K$12:K432,K432))</f>
        <v/>
      </c>
      <c r="P432" s="93">
        <f>IF(K432="","",K432&amp;"|"&amp;O432)</f>
        <v/>
      </c>
    </row>
    <row r="433" ht="15" customHeight="1" s="134">
      <c r="K433" s="96" t="n"/>
      <c r="L433" s="96" t="n"/>
      <c r="M433" s="218" t="n"/>
      <c r="N433" s="132" t="n"/>
      <c r="O433" s="274">
        <f>IF(K433="","",COUNTIFS($K$12:K433,K433))</f>
        <v/>
      </c>
      <c r="P433" s="93">
        <f>IF(K433="","",K433&amp;"|"&amp;O433)</f>
        <v/>
      </c>
    </row>
    <row r="434" ht="15" customHeight="1" s="134">
      <c r="K434" s="96" t="n"/>
      <c r="L434" s="96" t="n"/>
      <c r="M434" s="218" t="n"/>
      <c r="N434" s="132" t="n"/>
      <c r="O434" s="274">
        <f>IF(K434="","",COUNTIFS($K$12:K434,K434))</f>
        <v/>
      </c>
      <c r="P434" s="93">
        <f>IF(K434="","",K434&amp;"|"&amp;O434)</f>
        <v/>
      </c>
    </row>
    <row r="435" ht="15" customHeight="1" s="134">
      <c r="K435" s="96" t="n"/>
      <c r="L435" s="96" t="n"/>
      <c r="M435" s="218" t="n"/>
      <c r="N435" s="132" t="n"/>
      <c r="O435" s="274">
        <f>IF(K435="","",COUNTIFS($K$12:K435,K435))</f>
        <v/>
      </c>
      <c r="P435" s="93">
        <f>IF(K435="","",K435&amp;"|"&amp;O435)</f>
        <v/>
      </c>
    </row>
    <row r="436" ht="15" customHeight="1" s="134">
      <c r="K436" s="96" t="n"/>
      <c r="L436" s="96" t="n"/>
      <c r="M436" s="218" t="n"/>
      <c r="N436" s="132" t="n"/>
      <c r="O436" s="274">
        <f>IF(K436="","",COUNTIFS($K$12:K436,K436))</f>
        <v/>
      </c>
      <c r="P436" s="93">
        <f>IF(K436="","",K436&amp;"|"&amp;O436)</f>
        <v/>
      </c>
    </row>
    <row r="437" ht="15" customHeight="1" s="134">
      <c r="K437" s="96" t="n"/>
      <c r="L437" s="96" t="n"/>
      <c r="M437" s="218" t="n"/>
      <c r="N437" s="132" t="n"/>
      <c r="O437" s="274">
        <f>IF(K437="","",COUNTIFS($K$12:K437,K437))</f>
        <v/>
      </c>
      <c r="P437" s="93">
        <f>IF(K437="","",K437&amp;"|"&amp;O437)</f>
        <v/>
      </c>
    </row>
    <row r="438" ht="15" customHeight="1" s="134">
      <c r="K438" s="96" t="n"/>
      <c r="L438" s="96" t="n"/>
      <c r="M438" s="218" t="n"/>
      <c r="N438" s="132" t="n"/>
      <c r="O438" s="274">
        <f>IF(K438="","",COUNTIFS($K$12:K438,K438))</f>
        <v/>
      </c>
      <c r="P438" s="93">
        <f>IF(K438="","",K438&amp;"|"&amp;O438)</f>
        <v/>
      </c>
    </row>
    <row r="439" ht="15" customHeight="1" s="134">
      <c r="K439" s="96" t="n"/>
      <c r="L439" s="96" t="n"/>
      <c r="M439" s="218" t="n"/>
      <c r="N439" s="132" t="n"/>
      <c r="O439" s="274">
        <f>IF(K439="","",COUNTIFS($K$12:K439,K439))</f>
        <v/>
      </c>
      <c r="P439" s="93">
        <f>IF(K439="","",K439&amp;"|"&amp;O439)</f>
        <v/>
      </c>
    </row>
    <row r="440" ht="15" customHeight="1" s="134">
      <c r="K440" s="96" t="n"/>
      <c r="L440" s="96" t="n"/>
      <c r="M440" s="218" t="n"/>
      <c r="N440" s="132" t="n"/>
      <c r="O440" s="274">
        <f>IF(K440="","",COUNTIFS($K$12:K440,K440))</f>
        <v/>
      </c>
      <c r="P440" s="93">
        <f>IF(K440="","",K440&amp;"|"&amp;O440)</f>
        <v/>
      </c>
    </row>
    <row r="441" ht="15" customHeight="1" s="134">
      <c r="K441" s="96" t="n"/>
      <c r="L441" s="96" t="n"/>
      <c r="M441" s="218" t="n"/>
      <c r="N441" s="132" t="n"/>
      <c r="O441" s="274">
        <f>IF(K441="","",COUNTIFS($K$12:K441,K441))</f>
        <v/>
      </c>
      <c r="P441" s="93">
        <f>IF(K441="","",K441&amp;"|"&amp;O441)</f>
        <v/>
      </c>
    </row>
    <row r="442" ht="15" customHeight="1" s="134">
      <c r="K442" s="96" t="n"/>
      <c r="L442" s="96" t="n"/>
      <c r="M442" s="218" t="n"/>
      <c r="N442" s="132" t="n"/>
      <c r="O442" s="274">
        <f>IF(K442="","",COUNTIFS($K$12:K442,K442))</f>
        <v/>
      </c>
      <c r="P442" s="93">
        <f>IF(K442="","",K442&amp;"|"&amp;O442)</f>
        <v/>
      </c>
    </row>
    <row r="443" ht="15" customHeight="1" s="134">
      <c r="K443" s="96" t="n"/>
      <c r="L443" s="96" t="n"/>
      <c r="M443" s="218" t="n"/>
      <c r="N443" s="132" t="n"/>
      <c r="O443" s="274">
        <f>IF(K443="","",COUNTIFS($K$12:K443,K443))</f>
        <v/>
      </c>
      <c r="P443" s="93">
        <f>IF(K443="","",K443&amp;"|"&amp;O443)</f>
        <v/>
      </c>
    </row>
    <row r="444" ht="15" customHeight="1" s="134">
      <c r="K444" s="96" t="n"/>
      <c r="L444" s="96" t="n"/>
      <c r="M444" s="218" t="n"/>
      <c r="N444" s="132" t="n"/>
      <c r="O444" s="274">
        <f>IF(K444="","",COUNTIFS($K$12:K444,K444))</f>
        <v/>
      </c>
      <c r="P444" s="93">
        <f>IF(K444="","",K444&amp;"|"&amp;O444)</f>
        <v/>
      </c>
    </row>
    <row r="445" ht="15" customHeight="1" s="134">
      <c r="K445" s="96" t="n"/>
      <c r="L445" s="96" t="n"/>
      <c r="M445" s="218" t="n"/>
      <c r="N445" s="132" t="n"/>
      <c r="O445" s="274">
        <f>IF(K445="","",COUNTIFS($K$12:K445,K445))</f>
        <v/>
      </c>
      <c r="P445" s="93">
        <f>IF(K445="","",K445&amp;"|"&amp;O445)</f>
        <v/>
      </c>
    </row>
    <row r="446" ht="15" customHeight="1" s="134">
      <c r="K446" s="96" t="n"/>
      <c r="L446" s="96" t="n"/>
      <c r="M446" s="218" t="n"/>
      <c r="N446" s="132" t="n"/>
      <c r="O446" s="274">
        <f>IF(K446="","",COUNTIFS($K$12:K446,K446))</f>
        <v/>
      </c>
      <c r="P446" s="93">
        <f>IF(K446="","",K446&amp;"|"&amp;O446)</f>
        <v/>
      </c>
    </row>
    <row r="447" ht="15" customHeight="1" s="134">
      <c r="K447" s="96" t="n"/>
      <c r="L447" s="96" t="n"/>
      <c r="M447" s="218" t="n"/>
      <c r="N447" s="132" t="n"/>
      <c r="O447" s="274">
        <f>IF(K447="","",COUNTIFS($K$12:K447,K447))</f>
        <v/>
      </c>
      <c r="P447" s="93">
        <f>IF(K447="","",K447&amp;"|"&amp;O447)</f>
        <v/>
      </c>
    </row>
    <row r="448" ht="15" customHeight="1" s="134">
      <c r="K448" s="96" t="n"/>
      <c r="L448" s="96" t="n"/>
      <c r="M448" s="218" t="n"/>
      <c r="N448" s="132" t="n"/>
      <c r="O448" s="274">
        <f>IF(K448="","",COUNTIFS($K$12:K448,K448))</f>
        <v/>
      </c>
      <c r="P448" s="93">
        <f>IF(K448="","",K448&amp;"|"&amp;O448)</f>
        <v/>
      </c>
    </row>
    <row r="449" ht="15" customHeight="1" s="134">
      <c r="K449" s="96" t="n"/>
      <c r="L449" s="96" t="n"/>
      <c r="M449" s="218" t="n"/>
      <c r="N449" s="132" t="n"/>
      <c r="O449" s="274">
        <f>IF(K449="","",COUNTIFS($K$12:K449,K449))</f>
        <v/>
      </c>
      <c r="P449" s="93">
        <f>IF(K449="","",K449&amp;"|"&amp;O449)</f>
        <v/>
      </c>
    </row>
    <row r="450" ht="15" customHeight="1" s="134">
      <c r="K450" s="96" t="n"/>
      <c r="L450" s="96" t="n"/>
      <c r="M450" s="218" t="n"/>
      <c r="N450" s="132" t="n"/>
      <c r="O450" s="274">
        <f>IF(K450="","",COUNTIFS($K$12:K450,K450))</f>
        <v/>
      </c>
      <c r="P450" s="93">
        <f>IF(K450="","",K450&amp;"|"&amp;O450)</f>
        <v/>
      </c>
    </row>
    <row r="451" ht="15" customHeight="1" s="134">
      <c r="K451" s="96" t="n"/>
      <c r="L451" s="96" t="n"/>
      <c r="M451" s="218" t="n"/>
      <c r="N451" s="132" t="n"/>
      <c r="O451" s="274">
        <f>IF(K451="","",COUNTIFS($K$12:K451,K451))</f>
        <v/>
      </c>
      <c r="P451" s="93">
        <f>IF(K451="","",K451&amp;"|"&amp;O451)</f>
        <v/>
      </c>
    </row>
    <row r="452" ht="15" customHeight="1" s="134">
      <c r="K452" s="96" t="n"/>
      <c r="L452" s="96" t="n"/>
      <c r="M452" s="218" t="n"/>
      <c r="N452" s="132" t="n"/>
      <c r="O452" s="274">
        <f>IF(K452="","",COUNTIFS($K$12:K452,K452))</f>
        <v/>
      </c>
      <c r="P452" s="93">
        <f>IF(K452="","",K452&amp;"|"&amp;O452)</f>
        <v/>
      </c>
    </row>
    <row r="453" ht="15" customHeight="1" s="134">
      <c r="K453" s="96" t="n"/>
      <c r="L453" s="96" t="n"/>
      <c r="M453" s="218" t="n"/>
      <c r="N453" s="132" t="n"/>
      <c r="O453" s="274">
        <f>IF(K453="","",COUNTIFS($K$12:K453,K453))</f>
        <v/>
      </c>
      <c r="P453" s="93">
        <f>IF(K453="","",K453&amp;"|"&amp;O453)</f>
        <v/>
      </c>
    </row>
    <row r="454" ht="15" customHeight="1" s="134">
      <c r="K454" s="96" t="n"/>
      <c r="L454" s="96" t="n"/>
      <c r="M454" s="218" t="n"/>
      <c r="N454" s="132" t="n"/>
      <c r="O454" s="274">
        <f>IF(K454="","",COUNTIFS($K$12:K454,K454))</f>
        <v/>
      </c>
      <c r="P454" s="93">
        <f>IF(K454="","",K454&amp;"|"&amp;O454)</f>
        <v/>
      </c>
    </row>
    <row r="455" ht="15" customHeight="1" s="134">
      <c r="K455" s="96" t="n"/>
      <c r="L455" s="96" t="n"/>
      <c r="M455" s="218" t="n"/>
      <c r="N455" s="132" t="n"/>
      <c r="O455" s="274">
        <f>IF(K455="","",COUNTIFS($K$12:K455,K455))</f>
        <v/>
      </c>
      <c r="P455" s="93">
        <f>IF(K455="","",K455&amp;"|"&amp;O455)</f>
        <v/>
      </c>
    </row>
    <row r="456" ht="15" customHeight="1" s="134">
      <c r="K456" s="96" t="n"/>
      <c r="L456" s="96" t="n"/>
      <c r="M456" s="218" t="n"/>
      <c r="N456" s="132" t="n"/>
      <c r="O456" s="274">
        <f>IF(K456="","",COUNTIFS($K$12:K456,K456))</f>
        <v/>
      </c>
      <c r="P456" s="93">
        <f>IF(K456="","",K456&amp;"|"&amp;O456)</f>
        <v/>
      </c>
    </row>
    <row r="457" ht="15" customHeight="1" s="134">
      <c r="K457" s="96" t="n"/>
      <c r="L457" s="96" t="n"/>
      <c r="M457" s="218" t="n"/>
      <c r="N457" s="132" t="n"/>
      <c r="O457" s="274">
        <f>IF(K457="","",COUNTIFS($K$12:K457,K457))</f>
        <v/>
      </c>
      <c r="P457" s="93">
        <f>IF(K457="","",K457&amp;"|"&amp;O457)</f>
        <v/>
      </c>
    </row>
    <row r="458" ht="15" customHeight="1" s="134">
      <c r="K458" s="96" t="n"/>
      <c r="L458" s="96" t="n"/>
      <c r="M458" s="218" t="n"/>
      <c r="N458" s="132" t="n"/>
      <c r="O458" s="274">
        <f>IF(K458="","",COUNTIFS($K$12:K458,K458))</f>
        <v/>
      </c>
      <c r="P458" s="93">
        <f>IF(K458="","",K458&amp;"|"&amp;O458)</f>
        <v/>
      </c>
    </row>
    <row r="459" ht="15" customHeight="1" s="134">
      <c r="K459" s="96" t="n"/>
      <c r="L459" s="96" t="n"/>
      <c r="M459" s="218" t="n"/>
      <c r="N459" s="132" t="n"/>
      <c r="O459" s="274">
        <f>IF(K459="","",COUNTIFS($K$12:K459,K459))</f>
        <v/>
      </c>
      <c r="P459" s="93">
        <f>IF(K459="","",K459&amp;"|"&amp;O459)</f>
        <v/>
      </c>
    </row>
    <row r="460" ht="15" customHeight="1" s="134">
      <c r="K460" s="96" t="n"/>
      <c r="L460" s="96" t="n"/>
      <c r="M460" s="218" t="n"/>
      <c r="N460" s="132" t="n"/>
      <c r="O460" s="274">
        <f>IF(K460="","",COUNTIFS($K$12:K460,K460))</f>
        <v/>
      </c>
      <c r="P460" s="93">
        <f>IF(K460="","",K460&amp;"|"&amp;O460)</f>
        <v/>
      </c>
    </row>
    <row r="461" ht="15" customHeight="1" s="134">
      <c r="K461" s="96" t="n"/>
      <c r="L461" s="96" t="n"/>
      <c r="M461" s="218" t="n"/>
      <c r="N461" s="132" t="n"/>
      <c r="O461" s="274">
        <f>IF(K461="","",COUNTIFS($K$12:K461,K461))</f>
        <v/>
      </c>
      <c r="P461" s="93">
        <f>IF(K461="","",K461&amp;"|"&amp;O461)</f>
        <v/>
      </c>
    </row>
    <row r="462" ht="15" customHeight="1" s="134">
      <c r="K462" s="96" t="n"/>
      <c r="L462" s="96" t="n"/>
      <c r="M462" s="218" t="n"/>
      <c r="N462" s="132" t="n"/>
      <c r="O462" s="274">
        <f>IF(K462="","",COUNTIFS($K$12:K462,K462))</f>
        <v/>
      </c>
      <c r="P462" s="93">
        <f>IF(K462="","",K462&amp;"|"&amp;O462)</f>
        <v/>
      </c>
    </row>
    <row r="463" ht="15" customHeight="1" s="134">
      <c r="K463" s="96" t="n"/>
      <c r="L463" s="96" t="n"/>
      <c r="M463" s="218" t="n"/>
      <c r="N463" s="132" t="n"/>
      <c r="O463" s="274">
        <f>IF(K463="","",COUNTIFS($K$12:K463,K463))</f>
        <v/>
      </c>
      <c r="P463" s="93">
        <f>IF(K463="","",K463&amp;"|"&amp;O463)</f>
        <v/>
      </c>
    </row>
    <row r="464" ht="15" customHeight="1" s="134">
      <c r="K464" s="96" t="n"/>
      <c r="L464" s="96" t="n"/>
      <c r="M464" s="218" t="n"/>
      <c r="N464" s="132" t="n"/>
      <c r="O464" s="274">
        <f>IF(K464="","",COUNTIFS($K$12:K464,K464))</f>
        <v/>
      </c>
      <c r="P464" s="93">
        <f>IF(K464="","",K464&amp;"|"&amp;O464)</f>
        <v/>
      </c>
    </row>
    <row r="465" ht="15" customHeight="1" s="134">
      <c r="K465" s="96" t="n"/>
      <c r="L465" s="96" t="n"/>
      <c r="M465" s="218" t="n"/>
      <c r="N465" s="132" t="n"/>
      <c r="O465" s="274">
        <f>IF(K465="","",COUNTIFS($K$12:K465,K465))</f>
        <v/>
      </c>
      <c r="P465" s="93">
        <f>IF(K465="","",K465&amp;"|"&amp;O465)</f>
        <v/>
      </c>
    </row>
    <row r="466" ht="15" customHeight="1" s="134">
      <c r="K466" s="96" t="n"/>
      <c r="L466" s="96" t="n"/>
      <c r="M466" s="218" t="n"/>
      <c r="N466" s="132" t="n"/>
      <c r="O466" s="274">
        <f>IF(K466="","",COUNTIFS($K$12:K466,K466))</f>
        <v/>
      </c>
      <c r="P466" s="93">
        <f>IF(K466="","",K466&amp;"|"&amp;O466)</f>
        <v/>
      </c>
    </row>
    <row r="467" ht="15" customHeight="1" s="134">
      <c r="K467" s="96" t="n"/>
      <c r="L467" s="96" t="n"/>
      <c r="M467" s="218" t="n"/>
      <c r="N467" s="132" t="n"/>
      <c r="O467" s="274">
        <f>IF(K467="","",COUNTIFS($K$12:K467,K467))</f>
        <v/>
      </c>
      <c r="P467" s="93">
        <f>IF(K467="","",K467&amp;"|"&amp;O467)</f>
        <v/>
      </c>
    </row>
    <row r="468" ht="15" customHeight="1" s="134">
      <c r="K468" s="96" t="n"/>
      <c r="L468" s="96" t="n"/>
      <c r="M468" s="218" t="n"/>
      <c r="N468" s="132" t="n"/>
      <c r="O468" s="274">
        <f>IF(K468="","",COUNTIFS($K$12:K468,K468))</f>
        <v/>
      </c>
      <c r="P468" s="93">
        <f>IF(K468="","",K468&amp;"|"&amp;O468)</f>
        <v/>
      </c>
    </row>
    <row r="469" ht="15" customHeight="1" s="134">
      <c r="K469" s="96" t="n"/>
      <c r="L469" s="96" t="n"/>
      <c r="M469" s="218" t="n"/>
      <c r="N469" s="132" t="n"/>
      <c r="O469" s="274">
        <f>IF(K469="","",COUNTIFS($K$12:K469,K469))</f>
        <v/>
      </c>
      <c r="P469" s="93">
        <f>IF(K469="","",K469&amp;"|"&amp;O469)</f>
        <v/>
      </c>
    </row>
    <row r="470" ht="15" customHeight="1" s="134">
      <c r="K470" s="96" t="n"/>
      <c r="L470" s="96" t="n"/>
      <c r="M470" s="218" t="n"/>
      <c r="N470" s="132" t="n"/>
      <c r="O470" s="274">
        <f>IF(K470="","",COUNTIFS($K$12:K470,K470))</f>
        <v/>
      </c>
      <c r="P470" s="93">
        <f>IF(K470="","",K470&amp;"|"&amp;O470)</f>
        <v/>
      </c>
    </row>
    <row r="471" ht="15" customHeight="1" s="134">
      <c r="K471" s="96" t="n"/>
      <c r="L471" s="96" t="n"/>
      <c r="M471" s="218" t="n"/>
      <c r="N471" s="132" t="n"/>
      <c r="O471" s="274">
        <f>IF(K471="","",COUNTIFS($K$12:K471,K471))</f>
        <v/>
      </c>
      <c r="P471" s="93">
        <f>IF(K471="","",K471&amp;"|"&amp;O471)</f>
        <v/>
      </c>
    </row>
    <row r="472" ht="15" customHeight="1" s="134">
      <c r="K472" s="96" t="n"/>
      <c r="L472" s="96" t="n"/>
      <c r="M472" s="218" t="n"/>
      <c r="N472" s="132" t="n"/>
      <c r="O472" s="274">
        <f>IF(K472="","",COUNTIFS($K$12:K472,K472))</f>
        <v/>
      </c>
      <c r="P472" s="93">
        <f>IF(K472="","",K472&amp;"|"&amp;O472)</f>
        <v/>
      </c>
    </row>
    <row r="473" ht="15" customHeight="1" s="134">
      <c r="K473" s="96" t="n"/>
      <c r="L473" s="96" t="n"/>
      <c r="M473" s="218" t="n"/>
      <c r="N473" s="132" t="n"/>
      <c r="O473" s="274">
        <f>IF(K473="","",COUNTIFS($K$12:K473,K473))</f>
        <v/>
      </c>
      <c r="P473" s="93">
        <f>IF(K473="","",K473&amp;"|"&amp;O473)</f>
        <v/>
      </c>
    </row>
    <row r="474" ht="15" customHeight="1" s="134">
      <c r="K474" s="96" t="n"/>
      <c r="L474" s="96" t="n"/>
      <c r="M474" s="218" t="n"/>
      <c r="N474" s="132" t="n"/>
      <c r="O474" s="274">
        <f>IF(K474="","",COUNTIFS($K$12:K474,K474))</f>
        <v/>
      </c>
      <c r="P474" s="93">
        <f>IF(K474="","",K474&amp;"|"&amp;O474)</f>
        <v/>
      </c>
    </row>
    <row r="475" ht="15" customHeight="1" s="134">
      <c r="K475" s="96" t="n"/>
      <c r="L475" s="96" t="n"/>
      <c r="M475" s="218" t="n"/>
      <c r="N475" s="132" t="n"/>
      <c r="O475" s="274">
        <f>IF(K475="","",COUNTIFS($K$12:K475,K475))</f>
        <v/>
      </c>
      <c r="P475" s="93">
        <f>IF(K475="","",K475&amp;"|"&amp;O475)</f>
        <v/>
      </c>
    </row>
    <row r="476" ht="15" customHeight="1" s="134">
      <c r="K476" s="96" t="n"/>
      <c r="L476" s="96" t="n"/>
      <c r="M476" s="218" t="n"/>
      <c r="N476" s="132" t="n"/>
      <c r="O476" s="274">
        <f>IF(K476="","",COUNTIFS($K$12:K476,K476))</f>
        <v/>
      </c>
      <c r="P476" s="93">
        <f>IF(K476="","",K476&amp;"|"&amp;O476)</f>
        <v/>
      </c>
    </row>
    <row r="477" ht="15" customHeight="1" s="134">
      <c r="K477" s="96" t="n"/>
      <c r="L477" s="96" t="n"/>
      <c r="M477" s="218" t="n"/>
      <c r="N477" s="132" t="n"/>
      <c r="O477" s="274">
        <f>IF(K477="","",COUNTIFS($K$12:K477,K477))</f>
        <v/>
      </c>
      <c r="P477" s="93">
        <f>IF(K477="","",K477&amp;"|"&amp;O477)</f>
        <v/>
      </c>
    </row>
    <row r="478" ht="15" customHeight="1" s="134">
      <c r="K478" s="96" t="n"/>
      <c r="L478" s="96" t="n"/>
      <c r="M478" s="218" t="n"/>
      <c r="N478" s="132" t="n"/>
      <c r="O478" s="274">
        <f>IF(K478="","",COUNTIFS($K$12:K478,K478))</f>
        <v/>
      </c>
      <c r="P478" s="93">
        <f>IF(K478="","",K478&amp;"|"&amp;O478)</f>
        <v/>
      </c>
    </row>
    <row r="479" ht="15" customHeight="1" s="134">
      <c r="K479" s="96" t="n"/>
      <c r="L479" s="96" t="n"/>
      <c r="M479" s="218" t="n"/>
      <c r="N479" s="132" t="n"/>
      <c r="O479" s="274">
        <f>IF(K479="","",COUNTIFS($K$12:K479,K479))</f>
        <v/>
      </c>
      <c r="P479" s="93">
        <f>IF(K479="","",K479&amp;"|"&amp;O479)</f>
        <v/>
      </c>
    </row>
    <row r="480" ht="15" customHeight="1" s="134">
      <c r="K480" s="96" t="n"/>
      <c r="L480" s="96" t="n"/>
      <c r="M480" s="218" t="n"/>
      <c r="N480" s="132" t="n"/>
      <c r="O480" s="274">
        <f>IF(K480="","",COUNTIFS($K$12:K480,K480))</f>
        <v/>
      </c>
      <c r="P480" s="93">
        <f>IF(K480="","",K480&amp;"|"&amp;O480)</f>
        <v/>
      </c>
    </row>
    <row r="481" ht="15" customHeight="1" s="134">
      <c r="K481" s="96" t="n"/>
      <c r="L481" s="96" t="n"/>
      <c r="M481" s="218" t="n"/>
      <c r="N481" s="132" t="n"/>
      <c r="O481" s="274">
        <f>IF(K481="","",COUNTIFS($K$12:K481,K481))</f>
        <v/>
      </c>
      <c r="P481" s="93">
        <f>IF(K481="","",K481&amp;"|"&amp;O481)</f>
        <v/>
      </c>
    </row>
    <row r="482" ht="15" customHeight="1" s="134">
      <c r="K482" s="96" t="n"/>
      <c r="L482" s="96" t="n"/>
      <c r="M482" s="218" t="n"/>
      <c r="N482" s="132" t="n"/>
      <c r="O482" s="274">
        <f>IF(K482="","",COUNTIFS($K$12:K482,K482))</f>
        <v/>
      </c>
      <c r="P482" s="93">
        <f>IF(K482="","",K482&amp;"|"&amp;O482)</f>
        <v/>
      </c>
    </row>
    <row r="483" ht="15" customHeight="1" s="134">
      <c r="K483" s="96" t="n"/>
      <c r="L483" s="96" t="n"/>
      <c r="M483" s="218" t="n"/>
      <c r="N483" s="132" t="n"/>
      <c r="O483" s="274">
        <f>IF(K483="","",COUNTIFS($K$12:K483,K483))</f>
        <v/>
      </c>
      <c r="P483" s="93">
        <f>IF(K483="","",K483&amp;"|"&amp;O483)</f>
        <v/>
      </c>
    </row>
    <row r="484" ht="15" customHeight="1" s="134">
      <c r="K484" s="96" t="n"/>
      <c r="L484" s="96" t="n"/>
      <c r="M484" s="218" t="n"/>
      <c r="N484" s="132" t="n"/>
      <c r="O484" s="274">
        <f>IF(K484="","",COUNTIFS($K$12:K484,K484))</f>
        <v/>
      </c>
      <c r="P484" s="93">
        <f>IF(K484="","",K484&amp;"|"&amp;O484)</f>
        <v/>
      </c>
    </row>
    <row r="485" ht="15" customHeight="1" s="134">
      <c r="K485" s="96" t="n"/>
      <c r="L485" s="96" t="n"/>
      <c r="M485" s="218" t="n"/>
      <c r="N485" s="132" t="n"/>
      <c r="O485" s="274">
        <f>IF(K485="","",COUNTIFS($K$12:K485,K485))</f>
        <v/>
      </c>
      <c r="P485" s="93">
        <f>IF(K485="","",K485&amp;"|"&amp;O485)</f>
        <v/>
      </c>
    </row>
    <row r="486" ht="15" customHeight="1" s="134">
      <c r="K486" s="96" t="n"/>
      <c r="L486" s="96" t="n"/>
      <c r="M486" s="218" t="n"/>
      <c r="N486" s="132" t="n"/>
      <c r="O486" s="274">
        <f>IF(K486="","",COUNTIFS($K$12:K486,K486))</f>
        <v/>
      </c>
      <c r="P486" s="93">
        <f>IF(K486="","",K486&amp;"|"&amp;O486)</f>
        <v/>
      </c>
    </row>
    <row r="487" ht="15" customHeight="1" s="134">
      <c r="K487" s="96" t="n"/>
      <c r="L487" s="96" t="n"/>
      <c r="M487" s="218" t="n"/>
      <c r="N487" s="132" t="n"/>
      <c r="O487" s="274">
        <f>IF(K487="","",COUNTIFS($K$12:K487,K487))</f>
        <v/>
      </c>
      <c r="P487" s="93">
        <f>IF(K487="","",K487&amp;"|"&amp;O487)</f>
        <v/>
      </c>
    </row>
    <row r="488" ht="15" customHeight="1" s="134">
      <c r="K488" s="96" t="n"/>
      <c r="L488" s="96" t="n"/>
      <c r="M488" s="218" t="n"/>
      <c r="N488" s="132" t="n"/>
      <c r="O488" s="274">
        <f>IF(K488="","",COUNTIFS($K$12:K488,K488))</f>
        <v/>
      </c>
      <c r="P488" s="93">
        <f>IF(K488="","",K488&amp;"|"&amp;O488)</f>
        <v/>
      </c>
    </row>
    <row r="489" ht="15" customHeight="1" s="134">
      <c r="K489" s="96" t="n"/>
      <c r="L489" s="96" t="n"/>
      <c r="M489" s="218" t="n"/>
      <c r="N489" s="132" t="n"/>
      <c r="O489" s="274">
        <f>IF(K489="","",COUNTIFS($K$12:K489,K489))</f>
        <v/>
      </c>
      <c r="P489" s="93">
        <f>IF(K489="","",K489&amp;"|"&amp;O489)</f>
        <v/>
      </c>
    </row>
    <row r="490" ht="15" customHeight="1" s="134">
      <c r="K490" s="96" t="n"/>
      <c r="L490" s="96" t="n"/>
      <c r="M490" s="218" t="n"/>
      <c r="N490" s="132" t="n"/>
      <c r="O490" s="274">
        <f>IF(K490="","",COUNTIFS($K$12:K490,K490))</f>
        <v/>
      </c>
      <c r="P490" s="93">
        <f>IF(K490="","",K490&amp;"|"&amp;O490)</f>
        <v/>
      </c>
    </row>
    <row r="491" ht="15" customHeight="1" s="134">
      <c r="K491" s="96" t="n"/>
      <c r="L491" s="96" t="n"/>
      <c r="M491" s="218" t="n"/>
      <c r="N491" s="132" t="n"/>
      <c r="O491" s="274">
        <f>IF(K491="","",COUNTIFS($K$12:K491,K491))</f>
        <v/>
      </c>
      <c r="P491" s="93">
        <f>IF(K491="","",K491&amp;"|"&amp;O491)</f>
        <v/>
      </c>
    </row>
    <row r="492" ht="15" customHeight="1" s="134">
      <c r="K492" s="96" t="n"/>
      <c r="L492" s="96" t="n"/>
      <c r="M492" s="218" t="n"/>
      <c r="N492" s="132" t="n"/>
      <c r="O492" s="274">
        <f>IF(K492="","",COUNTIFS($K$12:K492,K492))</f>
        <v/>
      </c>
      <c r="P492" s="93">
        <f>IF(K492="","",K492&amp;"|"&amp;O492)</f>
        <v/>
      </c>
    </row>
    <row r="493" ht="15" customHeight="1" s="134">
      <c r="K493" s="96" t="n"/>
      <c r="L493" s="96" t="n"/>
      <c r="M493" s="218" t="n"/>
      <c r="N493" s="132" t="n"/>
      <c r="O493" s="274">
        <f>IF(K493="","",COUNTIFS($K$12:K493,K493))</f>
        <v/>
      </c>
      <c r="P493" s="93">
        <f>IF(K493="","",K493&amp;"|"&amp;O493)</f>
        <v/>
      </c>
    </row>
    <row r="494" ht="15" customHeight="1" s="134">
      <c r="K494" s="96" t="n"/>
      <c r="L494" s="96" t="n"/>
      <c r="M494" s="218" t="n"/>
      <c r="N494" s="132" t="n"/>
      <c r="O494" s="274">
        <f>IF(K494="","",COUNTIFS($K$12:K494,K494))</f>
        <v/>
      </c>
      <c r="P494" s="93">
        <f>IF(K494="","",K494&amp;"|"&amp;O494)</f>
        <v/>
      </c>
    </row>
    <row r="495" ht="15" customHeight="1" s="134">
      <c r="K495" s="96" t="n"/>
      <c r="L495" s="96" t="n"/>
      <c r="M495" s="218" t="n"/>
      <c r="N495" s="132" t="n"/>
      <c r="O495" s="274">
        <f>IF(K495="","",COUNTIFS($K$12:K495,K495))</f>
        <v/>
      </c>
      <c r="P495" s="93">
        <f>IF(K495="","",K495&amp;"|"&amp;O495)</f>
        <v/>
      </c>
    </row>
    <row r="496" ht="15" customHeight="1" s="134">
      <c r="K496" s="96" t="n"/>
      <c r="L496" s="96" t="n"/>
      <c r="M496" s="218" t="n"/>
      <c r="N496" s="132" t="n"/>
      <c r="O496" s="274">
        <f>IF(K496="","",COUNTIFS($K$12:K496,K496))</f>
        <v/>
      </c>
      <c r="P496" s="93">
        <f>IF(K496="","",K496&amp;"|"&amp;O496)</f>
        <v/>
      </c>
    </row>
    <row r="497" ht="15" customHeight="1" s="134">
      <c r="K497" s="96" t="n"/>
      <c r="L497" s="96" t="n"/>
      <c r="M497" s="218" t="n"/>
      <c r="N497" s="132" t="n"/>
      <c r="O497" s="274">
        <f>IF(K497="","",COUNTIFS($K$12:K497,K497))</f>
        <v/>
      </c>
      <c r="P497" s="93">
        <f>IF(K497="","",K497&amp;"|"&amp;O497)</f>
        <v/>
      </c>
    </row>
    <row r="498" ht="15" customHeight="1" s="134">
      <c r="K498" s="96" t="n"/>
      <c r="L498" s="96" t="n"/>
      <c r="M498" s="218" t="n"/>
      <c r="N498" s="132" t="n"/>
      <c r="O498" s="274">
        <f>IF(K498="","",COUNTIFS($K$12:K498,K498))</f>
        <v/>
      </c>
      <c r="P498" s="93">
        <f>IF(K498="","",K498&amp;"|"&amp;O498)</f>
        <v/>
      </c>
    </row>
    <row r="499" ht="15" customHeight="1" s="134">
      <c r="K499" s="96" t="n"/>
      <c r="L499" s="96" t="n"/>
      <c r="M499" s="218" t="n"/>
      <c r="N499" s="132" t="n"/>
      <c r="O499" s="274">
        <f>IF(K499="","",COUNTIFS($K$12:K499,K499))</f>
        <v/>
      </c>
      <c r="P499" s="93">
        <f>IF(K499="","",K499&amp;"|"&amp;O499)</f>
        <v/>
      </c>
    </row>
    <row r="500" ht="15" customHeight="1" s="134">
      <c r="K500" s="96" t="n"/>
      <c r="L500" s="96" t="n"/>
      <c r="M500" s="218" t="n"/>
      <c r="N500" s="132" t="n"/>
      <c r="O500" s="274">
        <f>IF(K500="","",COUNTIFS($K$12:K500,K500))</f>
        <v/>
      </c>
      <c r="P500" s="93">
        <f>IF(K500="","",K500&amp;"|"&amp;O500)</f>
        <v/>
      </c>
    </row>
    <row r="501" ht="15" customHeight="1" s="134">
      <c r="K501" s="96" t="n"/>
      <c r="L501" s="96" t="n"/>
      <c r="M501" s="218" t="n"/>
      <c r="N501" s="132" t="n"/>
      <c r="O501" s="274">
        <f>IF(K501="","",COUNTIFS($K$12:K501,K501))</f>
        <v/>
      </c>
      <c r="P501" s="93">
        <f>IF(K501="","",K501&amp;"|"&amp;O501)</f>
        <v/>
      </c>
    </row>
    <row r="502" ht="15" customHeight="1" s="134">
      <c r="K502" s="96" t="n"/>
      <c r="L502" s="96" t="n"/>
      <c r="M502" s="218" t="n"/>
      <c r="N502" s="132" t="n"/>
      <c r="O502" s="274">
        <f>IF(K502="","",COUNTIFS($K$12:K502,K502))</f>
        <v/>
      </c>
      <c r="P502" s="93">
        <f>IF(K502="","",K502&amp;"|"&amp;O502)</f>
        <v/>
      </c>
    </row>
    <row r="503" ht="15" customHeight="1" s="134">
      <c r="K503" s="96" t="n"/>
      <c r="L503" s="96" t="n"/>
      <c r="M503" s="218" t="n"/>
      <c r="N503" s="132" t="n"/>
      <c r="O503" s="274">
        <f>IF(K503="","",COUNTIFS($K$12:K503,K503))</f>
        <v/>
      </c>
      <c r="P503" s="93">
        <f>IF(K503="","",K503&amp;"|"&amp;O503)</f>
        <v/>
      </c>
    </row>
    <row r="504" ht="15" customHeight="1" s="134">
      <c r="K504" s="96" t="n"/>
      <c r="L504" s="96" t="n"/>
      <c r="M504" s="218" t="n"/>
      <c r="N504" s="132" t="n"/>
      <c r="O504" s="274">
        <f>IF(K504="","",COUNTIFS($K$12:K504,K504))</f>
        <v/>
      </c>
      <c r="P504" s="93">
        <f>IF(K504="","",K504&amp;"|"&amp;O504)</f>
        <v/>
      </c>
    </row>
    <row r="505" ht="15" customHeight="1" s="134">
      <c r="K505" s="96" t="n"/>
      <c r="L505" s="96" t="n"/>
      <c r="M505" s="218" t="n"/>
      <c r="N505" s="132" t="n"/>
      <c r="O505" s="274">
        <f>IF(K505="","",COUNTIFS($K$12:K505,K505))</f>
        <v/>
      </c>
      <c r="P505" s="93">
        <f>IF(K505="","",K505&amp;"|"&amp;O505)</f>
        <v/>
      </c>
    </row>
    <row r="506" ht="15" customHeight="1" s="134">
      <c r="K506" s="96" t="n"/>
      <c r="L506" s="96" t="n"/>
      <c r="M506" s="218" t="n"/>
      <c r="N506" s="132" t="n"/>
      <c r="O506" s="274">
        <f>IF(K506="","",COUNTIFS($K$12:K506,K506))</f>
        <v/>
      </c>
      <c r="P506" s="93">
        <f>IF(K506="","",K506&amp;"|"&amp;O506)</f>
        <v/>
      </c>
    </row>
    <row r="507" ht="15" customHeight="1" s="134">
      <c r="K507" s="96" t="n"/>
      <c r="L507" s="96" t="n"/>
      <c r="M507" s="218" t="n"/>
      <c r="N507" s="132" t="n"/>
      <c r="O507" s="274">
        <f>IF(K507="","",COUNTIFS($K$12:K507,K507))</f>
        <v/>
      </c>
      <c r="P507" s="93">
        <f>IF(K507="","",K507&amp;"|"&amp;O507)</f>
        <v/>
      </c>
    </row>
    <row r="508" ht="15" customHeight="1" s="134">
      <c r="K508" s="96" t="n"/>
      <c r="L508" s="96" t="n"/>
      <c r="M508" s="218" t="n"/>
      <c r="N508" s="132" t="n"/>
      <c r="O508" s="274">
        <f>IF(K508="","",COUNTIFS($K$12:K508,K508))</f>
        <v/>
      </c>
      <c r="P508" s="93">
        <f>IF(K508="","",K508&amp;"|"&amp;O508)</f>
        <v/>
      </c>
    </row>
    <row r="509" ht="15" customHeight="1" s="134">
      <c r="K509" s="96" t="n"/>
      <c r="L509" s="96" t="n"/>
      <c r="M509" s="218" t="n"/>
      <c r="N509" s="132" t="n"/>
      <c r="O509" s="274">
        <f>IF(K509="","",COUNTIFS($K$12:K509,K509))</f>
        <v/>
      </c>
      <c r="P509" s="93">
        <f>IF(K509="","",K509&amp;"|"&amp;O509)</f>
        <v/>
      </c>
    </row>
    <row r="510" ht="15" customHeight="1" s="134">
      <c r="K510" s="96" t="n"/>
      <c r="L510" s="96" t="n"/>
      <c r="M510" s="218" t="n"/>
      <c r="N510" s="132" t="n"/>
      <c r="O510" s="274">
        <f>IF(K510="","",COUNTIFS($K$12:K510,K510))</f>
        <v/>
      </c>
      <c r="P510" s="93">
        <f>IF(K510="","",K510&amp;"|"&amp;O510)</f>
        <v/>
      </c>
    </row>
    <row r="511" ht="15" customHeight="1" s="134">
      <c r="K511" s="96" t="n"/>
      <c r="L511" s="96" t="n"/>
      <c r="M511" s="218" t="n"/>
      <c r="N511" s="132" t="n"/>
      <c r="O511" s="274">
        <f>IF(K511="","",COUNTIFS($K$12:K511,K511))</f>
        <v/>
      </c>
      <c r="P511" s="93">
        <f>IF(K511="","",K511&amp;"|"&amp;O511)</f>
        <v/>
      </c>
    </row>
    <row r="512" ht="15" customHeight="1" s="134">
      <c r="K512" s="96" t="n"/>
      <c r="L512" s="96" t="n"/>
      <c r="M512" s="218" t="n"/>
      <c r="N512" s="132" t="n"/>
      <c r="O512" s="274">
        <f>IF(K512="","",COUNTIFS($K$12:K512,K512))</f>
        <v/>
      </c>
      <c r="P512" s="93">
        <f>IF(K512="","",K512&amp;"|"&amp;O512)</f>
        <v/>
      </c>
    </row>
    <row r="513" ht="15" customHeight="1" s="134">
      <c r="K513" s="96" t="n"/>
      <c r="L513" s="96" t="n"/>
      <c r="M513" s="218" t="n"/>
      <c r="N513" s="132" t="n"/>
      <c r="O513" s="274">
        <f>IF(K513="","",COUNTIFS($K$12:K513,K513))</f>
        <v/>
      </c>
      <c r="P513" s="93">
        <f>IF(K513="","",K513&amp;"|"&amp;O513)</f>
        <v/>
      </c>
    </row>
    <row r="514" ht="15" customHeight="1" s="134">
      <c r="K514" s="96" t="n"/>
      <c r="L514" s="96" t="n"/>
      <c r="M514" s="218" t="n"/>
      <c r="N514" s="132" t="n"/>
      <c r="O514" s="274">
        <f>IF(K514="","",COUNTIFS($K$12:K514,K514))</f>
        <v/>
      </c>
      <c r="P514" s="93">
        <f>IF(K514="","",K514&amp;"|"&amp;O514)</f>
        <v/>
      </c>
    </row>
    <row r="515" ht="15" customHeight="1" s="134">
      <c r="K515" s="96" t="n"/>
      <c r="L515" s="96" t="n"/>
      <c r="M515" s="218" t="n"/>
      <c r="N515" s="132" t="n"/>
      <c r="O515" s="274">
        <f>IF(K515="","",COUNTIFS($K$12:K515,K515))</f>
        <v/>
      </c>
      <c r="P515" s="93">
        <f>IF(K515="","",K515&amp;"|"&amp;O515)</f>
        <v/>
      </c>
    </row>
    <row r="516" ht="15" customHeight="1" s="134">
      <c r="K516" s="96" t="n"/>
      <c r="L516" s="96" t="n"/>
      <c r="M516" s="218" t="n"/>
      <c r="N516" s="132" t="n"/>
      <c r="O516" s="274">
        <f>IF(K516="","",COUNTIFS($K$12:K516,K516))</f>
        <v/>
      </c>
      <c r="P516" s="93">
        <f>IF(K516="","",K516&amp;"|"&amp;O516)</f>
        <v/>
      </c>
    </row>
    <row r="517" ht="15" customHeight="1" s="134">
      <c r="K517" s="96" t="n"/>
      <c r="L517" s="96" t="n"/>
      <c r="M517" s="218" t="n"/>
      <c r="N517" s="132" t="n"/>
      <c r="O517" s="274">
        <f>IF(K517="","",COUNTIFS($K$12:K517,K517))</f>
        <v/>
      </c>
      <c r="P517" s="93">
        <f>IF(K517="","",K517&amp;"|"&amp;O517)</f>
        <v/>
      </c>
    </row>
    <row r="518" ht="15" customHeight="1" s="134">
      <c r="K518" s="96" t="n"/>
      <c r="L518" s="96" t="n"/>
      <c r="M518" s="218" t="n"/>
      <c r="N518" s="132" t="n"/>
      <c r="O518" s="274">
        <f>IF(K518="","",COUNTIFS($K$12:K518,K518))</f>
        <v/>
      </c>
      <c r="P518" s="93">
        <f>IF(K518="","",K518&amp;"|"&amp;O518)</f>
        <v/>
      </c>
    </row>
    <row r="519" ht="15" customHeight="1" s="134">
      <c r="K519" s="96" t="n"/>
      <c r="L519" s="96" t="n"/>
      <c r="M519" s="218" t="n"/>
      <c r="N519" s="132" t="n"/>
      <c r="O519" s="274">
        <f>IF(K519="","",COUNTIFS($K$12:K519,K519))</f>
        <v/>
      </c>
      <c r="P519" s="93">
        <f>IF(K519="","",K519&amp;"|"&amp;O519)</f>
        <v/>
      </c>
    </row>
    <row r="520" ht="15" customHeight="1" s="134">
      <c r="K520" s="96" t="n"/>
      <c r="L520" s="96" t="n"/>
      <c r="M520" s="218" t="n"/>
      <c r="N520" s="132" t="n"/>
      <c r="O520" s="274">
        <f>IF(K520="","",COUNTIFS($K$12:K520,K520))</f>
        <v/>
      </c>
      <c r="P520" s="93">
        <f>IF(K520="","",K520&amp;"|"&amp;O520)</f>
        <v/>
      </c>
    </row>
    <row r="521" ht="15" customHeight="1" s="134">
      <c r="K521" s="96" t="n"/>
      <c r="L521" s="96" t="n"/>
      <c r="M521" s="218" t="n"/>
      <c r="N521" s="132" t="n"/>
      <c r="O521" s="274">
        <f>IF(K521="","",COUNTIFS($K$12:K521,K521))</f>
        <v/>
      </c>
      <c r="P521" s="93">
        <f>IF(K521="","",K521&amp;"|"&amp;O521)</f>
        <v/>
      </c>
    </row>
    <row r="522" ht="15" customHeight="1" s="134">
      <c r="K522" s="96" t="n"/>
      <c r="L522" s="96" t="n"/>
      <c r="M522" s="218" t="n"/>
      <c r="N522" s="132" t="n"/>
      <c r="O522" s="274">
        <f>IF(K522="","",COUNTIFS($K$12:K522,K522))</f>
        <v/>
      </c>
      <c r="P522" s="93">
        <f>IF(K522="","",K522&amp;"|"&amp;O522)</f>
        <v/>
      </c>
    </row>
    <row r="523" ht="15" customHeight="1" s="134">
      <c r="K523" s="96" t="n"/>
      <c r="L523" s="96" t="n"/>
      <c r="M523" s="218" t="n"/>
      <c r="N523" s="132" t="n"/>
      <c r="O523" s="274">
        <f>IF(K523="","",COUNTIFS($K$12:K523,K523))</f>
        <v/>
      </c>
      <c r="P523" s="93">
        <f>IF(K523="","",K523&amp;"|"&amp;O523)</f>
        <v/>
      </c>
    </row>
    <row r="524" ht="15" customHeight="1" s="134">
      <c r="K524" s="96" t="n"/>
      <c r="L524" s="96" t="n"/>
      <c r="M524" s="218" t="n"/>
      <c r="N524" s="132" t="n"/>
      <c r="O524" s="274">
        <f>IF(K524="","",COUNTIFS($K$12:K524,K524))</f>
        <v/>
      </c>
      <c r="P524" s="93">
        <f>IF(K524="","",K524&amp;"|"&amp;O524)</f>
        <v/>
      </c>
    </row>
    <row r="525" ht="15" customHeight="1" s="134">
      <c r="K525" s="96" t="n"/>
      <c r="L525" s="96" t="n"/>
      <c r="M525" s="218" t="n"/>
      <c r="N525" s="132" t="n"/>
      <c r="O525" s="274">
        <f>IF(K525="","",COUNTIFS($K$12:K525,K525))</f>
        <v/>
      </c>
      <c r="P525" s="93">
        <f>IF(K525="","",K525&amp;"|"&amp;O525)</f>
        <v/>
      </c>
    </row>
    <row r="526" ht="15" customHeight="1" s="134">
      <c r="K526" s="96" t="n"/>
      <c r="L526" s="96" t="n"/>
      <c r="M526" s="218" t="n"/>
      <c r="N526" s="132" t="n"/>
      <c r="O526" s="274">
        <f>IF(K526="","",COUNTIFS($K$12:K526,K526))</f>
        <v/>
      </c>
      <c r="P526" s="93">
        <f>IF(K526="","",K526&amp;"|"&amp;O526)</f>
        <v/>
      </c>
    </row>
    <row r="527" ht="15" customHeight="1" s="134">
      <c r="K527" s="96" t="n"/>
      <c r="L527" s="96" t="n"/>
      <c r="M527" s="218" t="n"/>
      <c r="N527" s="132" t="n"/>
      <c r="O527" s="274">
        <f>IF(K527="","",COUNTIFS($K$12:K527,K527))</f>
        <v/>
      </c>
      <c r="P527" s="93">
        <f>IF(K527="","",K527&amp;"|"&amp;O527)</f>
        <v/>
      </c>
    </row>
    <row r="528" ht="15" customHeight="1" s="134">
      <c r="K528" s="96" t="n"/>
      <c r="L528" s="96" t="n"/>
      <c r="M528" s="218" t="n"/>
      <c r="N528" s="132" t="n"/>
      <c r="O528" s="274">
        <f>IF(K528="","",COUNTIFS($K$12:K528,K528))</f>
        <v/>
      </c>
      <c r="P528" s="93">
        <f>IF(K528="","",K528&amp;"|"&amp;O528)</f>
        <v/>
      </c>
    </row>
    <row r="529" ht="15" customHeight="1" s="134">
      <c r="K529" s="96" t="n"/>
      <c r="L529" s="96" t="n"/>
      <c r="M529" s="218" t="n"/>
      <c r="N529" s="132" t="n"/>
      <c r="O529" s="274">
        <f>IF(K529="","",COUNTIFS($K$12:K529,K529))</f>
        <v/>
      </c>
      <c r="P529" s="93">
        <f>IF(K529="","",K529&amp;"|"&amp;O529)</f>
        <v/>
      </c>
    </row>
    <row r="530" ht="15" customHeight="1" s="134">
      <c r="K530" s="96" t="n"/>
      <c r="L530" s="96" t="n"/>
      <c r="M530" s="218" t="n"/>
      <c r="N530" s="132" t="n"/>
      <c r="O530" s="274">
        <f>IF(K530="","",COUNTIFS($K$12:K530,K530))</f>
        <v/>
      </c>
      <c r="P530" s="93">
        <f>IF(K530="","",K530&amp;"|"&amp;O530)</f>
        <v/>
      </c>
    </row>
    <row r="531" ht="15" customHeight="1" s="134">
      <c r="K531" s="96" t="n"/>
      <c r="L531" s="96" t="n"/>
      <c r="M531" s="218" t="n"/>
      <c r="N531" s="132" t="n"/>
      <c r="O531" s="274">
        <f>IF(K531="","",COUNTIFS($K$12:K531,K531))</f>
        <v/>
      </c>
      <c r="P531" s="93">
        <f>IF(K531="","",K531&amp;"|"&amp;O531)</f>
        <v/>
      </c>
    </row>
    <row r="532" ht="15" customHeight="1" s="134">
      <c r="K532" s="96" t="n"/>
      <c r="L532" s="96" t="n"/>
      <c r="M532" s="218" t="n"/>
      <c r="N532" s="132" t="n"/>
      <c r="O532" s="274">
        <f>IF(K532="","",COUNTIFS($K$12:K532,K532))</f>
        <v/>
      </c>
      <c r="P532" s="93">
        <f>IF(K532="","",K532&amp;"|"&amp;O532)</f>
        <v/>
      </c>
    </row>
    <row r="533" ht="15" customHeight="1" s="134">
      <c r="K533" s="96" t="n"/>
      <c r="L533" s="96" t="n"/>
      <c r="M533" s="218" t="n"/>
      <c r="N533" s="132" t="n"/>
      <c r="O533" s="274">
        <f>IF(K533="","",COUNTIFS($K$12:K533,K533))</f>
        <v/>
      </c>
      <c r="P533" s="93">
        <f>IF(K533="","",K533&amp;"|"&amp;O533)</f>
        <v/>
      </c>
    </row>
    <row r="534" ht="15" customHeight="1" s="134">
      <c r="K534" s="96" t="n"/>
      <c r="L534" s="96" t="n"/>
      <c r="M534" s="218" t="n"/>
      <c r="N534" s="132" t="n"/>
      <c r="O534" s="274">
        <f>IF(K534="","",COUNTIFS($K$12:K534,K534))</f>
        <v/>
      </c>
      <c r="P534" s="93">
        <f>IF(K534="","",K534&amp;"|"&amp;O534)</f>
        <v/>
      </c>
    </row>
    <row r="535" ht="15" customHeight="1" s="134">
      <c r="K535" s="96" t="n"/>
      <c r="L535" s="96" t="n"/>
      <c r="M535" s="218" t="n"/>
      <c r="N535" s="132" t="n"/>
      <c r="O535" s="274">
        <f>IF(K535="","",COUNTIFS($K$12:K535,K535))</f>
        <v/>
      </c>
      <c r="P535" s="93">
        <f>IF(K535="","",K535&amp;"|"&amp;O535)</f>
        <v/>
      </c>
    </row>
    <row r="536" ht="15" customHeight="1" s="134">
      <c r="K536" s="96" t="n"/>
      <c r="L536" s="96" t="n"/>
      <c r="M536" s="218" t="n"/>
      <c r="N536" s="132" t="n"/>
      <c r="O536" s="274">
        <f>IF(K536="","",COUNTIFS($K$12:K536,K536))</f>
        <v/>
      </c>
      <c r="P536" s="93">
        <f>IF(K536="","",K536&amp;"|"&amp;O536)</f>
        <v/>
      </c>
    </row>
    <row r="537" ht="15" customHeight="1" s="134">
      <c r="K537" s="96" t="n"/>
      <c r="L537" s="96" t="n"/>
      <c r="M537" s="218" t="n"/>
      <c r="N537" s="132" t="n"/>
      <c r="O537" s="274">
        <f>IF(K537="","",COUNTIFS($K$12:K537,K537))</f>
        <v/>
      </c>
      <c r="P537" s="93">
        <f>IF(K537="","",K537&amp;"|"&amp;O537)</f>
        <v/>
      </c>
    </row>
    <row r="538" ht="15" customHeight="1" s="134">
      <c r="K538" s="96" t="n"/>
      <c r="L538" s="96" t="n"/>
      <c r="M538" s="218" t="n"/>
      <c r="N538" s="132" t="n"/>
      <c r="O538" s="274">
        <f>IF(K538="","",COUNTIFS($K$12:K538,K538))</f>
        <v/>
      </c>
      <c r="P538" s="93">
        <f>IF(K538="","",K538&amp;"|"&amp;O538)</f>
        <v/>
      </c>
    </row>
    <row r="539" ht="15" customHeight="1" s="134">
      <c r="K539" s="96" t="n"/>
      <c r="L539" s="96" t="n"/>
      <c r="M539" s="218" t="n"/>
      <c r="N539" s="132" t="n"/>
      <c r="O539" s="274">
        <f>IF(K539="","",COUNTIFS($K$12:K539,K539))</f>
        <v/>
      </c>
      <c r="P539" s="93">
        <f>IF(K539="","",K539&amp;"|"&amp;O539)</f>
        <v/>
      </c>
    </row>
    <row r="540" ht="15" customHeight="1" s="134">
      <c r="K540" s="96" t="n"/>
      <c r="L540" s="96" t="n"/>
      <c r="M540" s="218" t="n"/>
      <c r="N540" s="132" t="n"/>
      <c r="O540" s="274">
        <f>IF(K540="","",COUNTIFS($K$12:K540,K540))</f>
        <v/>
      </c>
      <c r="P540" s="93">
        <f>IF(K540="","",K540&amp;"|"&amp;O540)</f>
        <v/>
      </c>
    </row>
    <row r="541" ht="15" customHeight="1" s="134">
      <c r="K541" s="96" t="n"/>
      <c r="L541" s="96" t="n"/>
      <c r="M541" s="218" t="n"/>
      <c r="N541" s="132" t="n"/>
      <c r="O541" s="274">
        <f>IF(K541="","",COUNTIFS($K$12:K541,K541))</f>
        <v/>
      </c>
      <c r="P541" s="93">
        <f>IF(K541="","",K541&amp;"|"&amp;O541)</f>
        <v/>
      </c>
    </row>
    <row r="542" ht="15" customHeight="1" s="134">
      <c r="K542" s="96" t="n"/>
      <c r="L542" s="96" t="n"/>
      <c r="M542" s="218" t="n"/>
      <c r="N542" s="132" t="n"/>
      <c r="O542" s="274">
        <f>IF(K542="","",COUNTIFS($K$12:K542,K542))</f>
        <v/>
      </c>
      <c r="P542" s="93">
        <f>IF(K542="","",K542&amp;"|"&amp;O542)</f>
        <v/>
      </c>
    </row>
    <row r="543" ht="15" customHeight="1" s="134">
      <c r="K543" s="96" t="n"/>
      <c r="L543" s="96" t="n"/>
      <c r="M543" s="218" t="n"/>
      <c r="N543" s="132" t="n"/>
      <c r="O543" s="274">
        <f>IF(K543="","",COUNTIFS($K$12:K543,K543))</f>
        <v/>
      </c>
      <c r="P543" s="93">
        <f>IF(K543="","",K543&amp;"|"&amp;O543)</f>
        <v/>
      </c>
    </row>
    <row r="544" ht="15" customHeight="1" s="134">
      <c r="K544" s="96" t="n"/>
      <c r="L544" s="96" t="n"/>
      <c r="M544" s="218" t="n"/>
      <c r="N544" s="132" t="n"/>
      <c r="O544" s="274">
        <f>IF(K544="","",COUNTIFS($K$12:K544,K544))</f>
        <v/>
      </c>
      <c r="P544" s="93">
        <f>IF(K544="","",K544&amp;"|"&amp;O544)</f>
        <v/>
      </c>
    </row>
    <row r="545" ht="15" customHeight="1" s="134">
      <c r="K545" s="96" t="n"/>
      <c r="L545" s="96" t="n"/>
      <c r="M545" s="218" t="n"/>
      <c r="N545" s="132" t="n"/>
      <c r="O545" s="274">
        <f>IF(K545="","",COUNTIFS($K$12:K545,K545))</f>
        <v/>
      </c>
      <c r="P545" s="93">
        <f>IF(K545="","",K545&amp;"|"&amp;O545)</f>
        <v/>
      </c>
    </row>
    <row r="546" ht="15" customHeight="1" s="134">
      <c r="K546" s="96" t="n"/>
      <c r="L546" s="96" t="n"/>
      <c r="M546" s="218" t="n"/>
      <c r="N546" s="132" t="n"/>
      <c r="O546" s="274">
        <f>IF(K546="","",COUNTIFS($K$12:K546,K546))</f>
        <v/>
      </c>
      <c r="P546" s="93">
        <f>IF(K546="","",K546&amp;"|"&amp;O546)</f>
        <v/>
      </c>
    </row>
    <row r="547" ht="15" customHeight="1" s="134">
      <c r="K547" s="96" t="n"/>
      <c r="L547" s="96" t="n"/>
      <c r="M547" s="218" t="n"/>
      <c r="N547" s="132" t="n"/>
      <c r="O547" s="274">
        <f>IF(K547="","",COUNTIFS($K$12:K547,K547))</f>
        <v/>
      </c>
      <c r="P547" s="93">
        <f>IF(K547="","",K547&amp;"|"&amp;O547)</f>
        <v/>
      </c>
    </row>
    <row r="548" ht="15" customHeight="1" s="134">
      <c r="K548" s="96" t="n"/>
      <c r="L548" s="96" t="n"/>
      <c r="M548" s="218" t="n"/>
      <c r="N548" s="132" t="n"/>
      <c r="O548" s="274">
        <f>IF(K548="","",COUNTIFS($K$12:K548,K548))</f>
        <v/>
      </c>
      <c r="P548" s="93">
        <f>IF(K548="","",K548&amp;"|"&amp;O548)</f>
        <v/>
      </c>
    </row>
    <row r="549" ht="15" customHeight="1" s="134">
      <c r="K549" s="96" t="n"/>
      <c r="L549" s="96" t="n"/>
      <c r="M549" s="218" t="n"/>
      <c r="N549" s="132" t="n"/>
      <c r="O549" s="274">
        <f>IF(K549="","",COUNTIFS($K$12:K549,K549))</f>
        <v/>
      </c>
      <c r="P549" s="93">
        <f>IF(K549="","",K549&amp;"|"&amp;O549)</f>
        <v/>
      </c>
    </row>
    <row r="550" ht="15" customHeight="1" s="134">
      <c r="K550" s="96" t="n"/>
      <c r="L550" s="96" t="n"/>
      <c r="M550" s="218" t="n"/>
      <c r="N550" s="132" t="n"/>
      <c r="O550" s="274">
        <f>IF(K550="","",COUNTIFS($K$12:K550,K550))</f>
        <v/>
      </c>
      <c r="P550" s="93">
        <f>IF(K550="","",K550&amp;"|"&amp;O550)</f>
        <v/>
      </c>
    </row>
    <row r="551" ht="15" customHeight="1" s="134">
      <c r="K551" s="96" t="n"/>
      <c r="L551" s="96" t="n"/>
      <c r="M551" s="218" t="n"/>
      <c r="N551" s="132" t="n"/>
      <c r="O551" s="274">
        <f>IF(K551="","",COUNTIFS($K$12:K551,K551))</f>
        <v/>
      </c>
      <c r="P551" s="93">
        <f>IF(K551="","",K551&amp;"|"&amp;O551)</f>
        <v/>
      </c>
    </row>
    <row r="552" ht="15" customHeight="1" s="134">
      <c r="K552" s="96" t="n"/>
      <c r="L552" s="96" t="n"/>
      <c r="M552" s="218" t="n"/>
      <c r="N552" s="132" t="n"/>
      <c r="O552" s="274">
        <f>IF(K552="","",COUNTIFS($K$12:K552,K552))</f>
        <v/>
      </c>
      <c r="P552" s="93">
        <f>IF(K552="","",K552&amp;"|"&amp;O552)</f>
        <v/>
      </c>
    </row>
    <row r="553" ht="15" customHeight="1" s="134">
      <c r="K553" s="96" t="n"/>
      <c r="L553" s="96" t="n"/>
      <c r="M553" s="218" t="n"/>
      <c r="N553" s="132" t="n"/>
      <c r="O553" s="274">
        <f>IF(K553="","",COUNTIFS($K$12:K553,K553))</f>
        <v/>
      </c>
      <c r="P553" s="93">
        <f>IF(K553="","",K553&amp;"|"&amp;O553)</f>
        <v/>
      </c>
    </row>
    <row r="554" ht="15" customHeight="1" s="134">
      <c r="K554" s="96" t="n"/>
      <c r="L554" s="96" t="n"/>
      <c r="M554" s="218" t="n"/>
      <c r="N554" s="132" t="n"/>
      <c r="O554" s="274">
        <f>IF(K554="","",COUNTIFS($K$12:K554,K554))</f>
        <v/>
      </c>
      <c r="P554" s="93">
        <f>IF(K554="","",K554&amp;"|"&amp;O554)</f>
        <v/>
      </c>
    </row>
    <row r="555" ht="15" customHeight="1" s="134">
      <c r="K555" s="96" t="n"/>
      <c r="L555" s="96" t="n"/>
      <c r="M555" s="218" t="n"/>
      <c r="N555" s="132" t="n"/>
      <c r="O555" s="274">
        <f>IF(K555="","",COUNTIFS($K$12:K555,K555))</f>
        <v/>
      </c>
      <c r="P555" s="93">
        <f>IF(K555="","",K555&amp;"|"&amp;O555)</f>
        <v/>
      </c>
    </row>
    <row r="556" ht="15" customHeight="1" s="134">
      <c r="K556" s="96" t="n"/>
      <c r="L556" s="96" t="n"/>
      <c r="M556" s="218" t="n"/>
      <c r="N556" s="132" t="n"/>
      <c r="O556" s="274">
        <f>IF(K556="","",COUNTIFS($K$12:K556,K556))</f>
        <v/>
      </c>
      <c r="P556" s="93">
        <f>IF(K556="","",K556&amp;"|"&amp;O556)</f>
        <v/>
      </c>
    </row>
    <row r="557" ht="15" customHeight="1" s="134">
      <c r="K557" s="96" t="n"/>
      <c r="L557" s="96" t="n"/>
      <c r="M557" s="218" t="n"/>
      <c r="N557" s="132" t="n"/>
      <c r="O557" s="274">
        <f>IF(K557="","",COUNTIFS($K$12:K557,K557))</f>
        <v/>
      </c>
      <c r="P557" s="93">
        <f>IF(K557="","",K557&amp;"|"&amp;O557)</f>
        <v/>
      </c>
    </row>
    <row r="558" ht="15" customHeight="1" s="134">
      <c r="K558" s="96" t="n"/>
      <c r="L558" s="96" t="n"/>
      <c r="M558" s="218" t="n"/>
      <c r="N558" s="132" t="n"/>
      <c r="O558" s="274">
        <f>IF(K558="","",COUNTIFS($K$12:K558,K558))</f>
        <v/>
      </c>
      <c r="P558" s="93">
        <f>IF(K558="","",K558&amp;"|"&amp;O558)</f>
        <v/>
      </c>
    </row>
    <row r="559" ht="15" customHeight="1" s="134">
      <c r="K559" s="96" t="n"/>
      <c r="L559" s="96" t="n"/>
      <c r="M559" s="218" t="n"/>
      <c r="N559" s="132" t="n"/>
      <c r="O559" s="274">
        <f>IF(K559="","",COUNTIFS($K$12:K559,K559))</f>
        <v/>
      </c>
      <c r="P559" s="93">
        <f>IF(K559="","",K559&amp;"|"&amp;O559)</f>
        <v/>
      </c>
    </row>
    <row r="560" ht="15" customHeight="1" s="134">
      <c r="K560" s="96" t="n"/>
      <c r="L560" s="96" t="n"/>
      <c r="M560" s="218" t="n"/>
      <c r="N560" s="132" t="n"/>
      <c r="O560" s="274">
        <f>IF(K560="","",COUNTIFS($K$12:K560,K560))</f>
        <v/>
      </c>
      <c r="P560" s="93">
        <f>IF(K560="","",K560&amp;"|"&amp;O560)</f>
        <v/>
      </c>
    </row>
    <row r="561" ht="15" customHeight="1" s="134">
      <c r="K561" s="96" t="n"/>
      <c r="L561" s="96" t="n"/>
      <c r="M561" s="218" t="n"/>
      <c r="N561" s="132" t="n"/>
      <c r="O561" s="274">
        <f>IF(K561="","",COUNTIFS($K$12:K561,K561))</f>
        <v/>
      </c>
      <c r="P561" s="93">
        <f>IF(K561="","",K561&amp;"|"&amp;O561)</f>
        <v/>
      </c>
    </row>
    <row r="562" ht="15" customHeight="1" s="134">
      <c r="K562" s="96" t="n"/>
      <c r="L562" s="96" t="n"/>
      <c r="M562" s="218" t="n"/>
      <c r="N562" s="132" t="n"/>
      <c r="O562" s="274">
        <f>IF(K562="","",COUNTIFS($K$12:K562,K562))</f>
        <v/>
      </c>
      <c r="P562" s="93">
        <f>IF(K562="","",K562&amp;"|"&amp;O562)</f>
        <v/>
      </c>
    </row>
    <row r="563" ht="15" customHeight="1" s="134">
      <c r="K563" s="96" t="n"/>
      <c r="L563" s="96" t="n"/>
      <c r="M563" s="218" t="n"/>
      <c r="N563" s="132" t="n"/>
      <c r="O563" s="274">
        <f>IF(K563="","",COUNTIFS($K$12:K563,K563))</f>
        <v/>
      </c>
      <c r="P563" s="93">
        <f>IF(K563="","",K563&amp;"|"&amp;O563)</f>
        <v/>
      </c>
    </row>
    <row r="564" ht="15" customHeight="1" s="134">
      <c r="K564" s="96" t="n"/>
      <c r="L564" s="96" t="n"/>
      <c r="M564" s="218" t="n"/>
      <c r="N564" s="132" t="n"/>
      <c r="O564" s="274">
        <f>IF(K564="","",COUNTIFS($K$12:K564,K564))</f>
        <v/>
      </c>
      <c r="P564" s="93">
        <f>IF(K564="","",K564&amp;"|"&amp;O564)</f>
        <v/>
      </c>
    </row>
    <row r="565" ht="15" customHeight="1" s="134">
      <c r="K565" s="96" t="n"/>
      <c r="L565" s="96" t="n"/>
      <c r="M565" s="218" t="n"/>
      <c r="N565" s="132" t="n"/>
      <c r="O565" s="274">
        <f>IF(K565="","",COUNTIFS($K$12:K565,K565))</f>
        <v/>
      </c>
      <c r="P565" s="93">
        <f>IF(K565="","",K565&amp;"|"&amp;O565)</f>
        <v/>
      </c>
    </row>
    <row r="566" ht="15" customHeight="1" s="134">
      <c r="K566" s="96" t="n"/>
      <c r="L566" s="96" t="n"/>
      <c r="M566" s="218" t="n"/>
      <c r="N566" s="132" t="n"/>
      <c r="O566" s="274">
        <f>IF(K566="","",COUNTIFS($K$12:K566,K566))</f>
        <v/>
      </c>
      <c r="P566" s="93">
        <f>IF(K566="","",K566&amp;"|"&amp;O566)</f>
        <v/>
      </c>
    </row>
    <row r="567" ht="15" customHeight="1" s="134">
      <c r="K567" s="96" t="n"/>
      <c r="L567" s="96" t="n"/>
      <c r="M567" s="218" t="n"/>
      <c r="N567" s="132" t="n"/>
      <c r="O567" s="274">
        <f>IF(K567="","",COUNTIFS($K$12:K567,K567))</f>
        <v/>
      </c>
      <c r="P567" s="93">
        <f>IF(K567="","",K567&amp;"|"&amp;O567)</f>
        <v/>
      </c>
    </row>
    <row r="568" ht="15" customHeight="1" s="134">
      <c r="K568" s="96" t="n"/>
      <c r="L568" s="96" t="n"/>
      <c r="M568" s="218" t="n"/>
      <c r="N568" s="132" t="n"/>
      <c r="O568" s="274">
        <f>IF(K568="","",COUNTIFS($K$12:K568,K568))</f>
        <v/>
      </c>
      <c r="P568" s="93">
        <f>IF(K568="","",K568&amp;"|"&amp;O568)</f>
        <v/>
      </c>
    </row>
    <row r="569" ht="15" customHeight="1" s="134">
      <c r="K569" s="96" t="n"/>
      <c r="L569" s="96" t="n"/>
      <c r="M569" s="218" t="n"/>
      <c r="N569" s="132" t="n"/>
      <c r="O569" s="274">
        <f>IF(K569="","",COUNTIFS($K$12:K569,K569))</f>
        <v/>
      </c>
      <c r="P569" s="93">
        <f>IF(K569="","",K569&amp;"|"&amp;O569)</f>
        <v/>
      </c>
    </row>
    <row r="570" ht="15" customHeight="1" s="134">
      <c r="K570" s="96" t="n"/>
      <c r="L570" s="96" t="n"/>
      <c r="M570" s="218" t="n"/>
      <c r="N570" s="132" t="n"/>
      <c r="O570" s="274">
        <f>IF(K570="","",COUNTIFS($K$12:K570,K570))</f>
        <v/>
      </c>
      <c r="P570" s="93">
        <f>IF(K570="","",K570&amp;"|"&amp;O570)</f>
        <v/>
      </c>
    </row>
    <row r="571" ht="15" customHeight="1" s="134">
      <c r="K571" s="96" t="n"/>
      <c r="L571" s="96" t="n"/>
      <c r="M571" s="218" t="n"/>
      <c r="N571" s="132" t="n"/>
      <c r="O571" s="274">
        <f>IF(K571="","",COUNTIFS($K$12:K571,K571))</f>
        <v/>
      </c>
      <c r="P571" s="93">
        <f>IF(K571="","",K571&amp;"|"&amp;O571)</f>
        <v/>
      </c>
    </row>
    <row r="572" ht="15" customHeight="1" s="134">
      <c r="K572" s="96" t="n"/>
      <c r="L572" s="96" t="n"/>
      <c r="M572" s="218" t="n"/>
      <c r="N572" s="132" t="n"/>
      <c r="O572" s="274">
        <f>IF(K572="","",COUNTIFS($K$12:K572,K572))</f>
        <v/>
      </c>
      <c r="P572" s="93">
        <f>IF(K572="","",K572&amp;"|"&amp;O572)</f>
        <v/>
      </c>
    </row>
    <row r="573" ht="15" customHeight="1" s="134">
      <c r="K573" s="96" t="n"/>
      <c r="L573" s="96" t="n"/>
      <c r="M573" s="218" t="n"/>
      <c r="N573" s="132" t="n"/>
      <c r="O573" s="274">
        <f>IF(K573="","",COUNTIFS($K$12:K573,K573))</f>
        <v/>
      </c>
      <c r="P573" s="93">
        <f>IF(K573="","",K573&amp;"|"&amp;O573)</f>
        <v/>
      </c>
    </row>
    <row r="574" ht="15" customHeight="1" s="134">
      <c r="K574" s="96" t="n"/>
      <c r="L574" s="96" t="n"/>
      <c r="M574" s="218" t="n"/>
      <c r="N574" s="132" t="n"/>
      <c r="O574" s="274">
        <f>IF(K574="","",COUNTIFS($K$12:K574,K574))</f>
        <v/>
      </c>
      <c r="P574" s="93">
        <f>IF(K574="","",K574&amp;"|"&amp;O574)</f>
        <v/>
      </c>
    </row>
    <row r="575" ht="15" customHeight="1" s="134">
      <c r="K575" s="96" t="n"/>
      <c r="L575" s="96" t="n"/>
      <c r="M575" s="218" t="n"/>
      <c r="N575" s="132" t="n"/>
      <c r="O575" s="274">
        <f>IF(K575="","",COUNTIFS($K$12:K575,K575))</f>
        <v/>
      </c>
      <c r="P575" s="93">
        <f>IF(K575="","",K575&amp;"|"&amp;O575)</f>
        <v/>
      </c>
    </row>
    <row r="576" ht="15" customHeight="1" s="134">
      <c r="K576" s="96" t="n"/>
      <c r="L576" s="96" t="n"/>
      <c r="M576" s="218" t="n"/>
      <c r="N576" s="132" t="n"/>
      <c r="O576" s="274">
        <f>IF(K576="","",COUNTIFS($K$12:K576,K576))</f>
        <v/>
      </c>
      <c r="P576" s="93">
        <f>IF(K576="","",K576&amp;"|"&amp;O576)</f>
        <v/>
      </c>
    </row>
    <row r="577" ht="15" customHeight="1" s="134">
      <c r="K577" s="96" t="n"/>
      <c r="L577" s="96" t="n"/>
      <c r="M577" s="218" t="n"/>
      <c r="N577" s="132" t="n"/>
      <c r="O577" s="274">
        <f>IF(K577="","",COUNTIFS($K$12:K577,K577))</f>
        <v/>
      </c>
      <c r="P577" s="93">
        <f>IF(K577="","",K577&amp;"|"&amp;O577)</f>
        <v/>
      </c>
    </row>
    <row r="578" ht="15" customHeight="1" s="134">
      <c r="K578" s="96" t="n"/>
      <c r="L578" s="96" t="n"/>
      <c r="M578" s="218" t="n"/>
      <c r="N578" s="132" t="n"/>
      <c r="O578" s="274">
        <f>IF(K578="","",COUNTIFS($K$12:K578,K578))</f>
        <v/>
      </c>
      <c r="P578" s="93">
        <f>IF(K578="","",K578&amp;"|"&amp;O578)</f>
        <v/>
      </c>
    </row>
    <row r="579" ht="15" customHeight="1" s="134">
      <c r="K579" s="96" t="n"/>
      <c r="L579" s="96" t="n"/>
      <c r="M579" s="218" t="n"/>
      <c r="N579" s="132" t="n"/>
      <c r="O579" s="274">
        <f>IF(K579="","",COUNTIFS($K$12:K579,K579))</f>
        <v/>
      </c>
      <c r="P579" s="93">
        <f>IF(K579="","",K579&amp;"|"&amp;O579)</f>
        <v/>
      </c>
    </row>
    <row r="580" ht="15" customHeight="1" s="134">
      <c r="K580" s="96" t="n"/>
      <c r="L580" s="96" t="n"/>
      <c r="M580" s="218" t="n"/>
      <c r="N580" s="132" t="n"/>
      <c r="O580" s="274">
        <f>IF(K580="","",COUNTIFS($K$12:K580,K580))</f>
        <v/>
      </c>
      <c r="P580" s="93">
        <f>IF(K580="","",K580&amp;"|"&amp;O580)</f>
        <v/>
      </c>
    </row>
    <row r="581" ht="15" customHeight="1" s="134">
      <c r="K581" s="96" t="n"/>
      <c r="L581" s="96" t="n"/>
      <c r="M581" s="218" t="n"/>
      <c r="N581" s="132" t="n"/>
      <c r="O581" s="274">
        <f>IF(K581="","",COUNTIFS($K$12:K581,K581))</f>
        <v/>
      </c>
      <c r="P581" s="93">
        <f>IF(K581="","",K581&amp;"|"&amp;O581)</f>
        <v/>
      </c>
    </row>
    <row r="582" ht="15" customHeight="1" s="134">
      <c r="K582" s="96" t="n"/>
      <c r="L582" s="96" t="n"/>
      <c r="M582" s="218" t="n"/>
      <c r="N582" s="132" t="n"/>
      <c r="O582" s="274">
        <f>IF(K582="","",COUNTIFS($K$12:K582,K582))</f>
        <v/>
      </c>
      <c r="P582" s="93">
        <f>IF(K582="","",K582&amp;"|"&amp;O582)</f>
        <v/>
      </c>
    </row>
    <row r="583" ht="15" customHeight="1" s="134">
      <c r="K583" s="96" t="n"/>
      <c r="L583" s="96" t="n"/>
      <c r="M583" s="218" t="n"/>
      <c r="N583" s="132" t="n"/>
      <c r="O583" s="274">
        <f>IF(K583="","",COUNTIFS($K$12:K583,K583))</f>
        <v/>
      </c>
      <c r="P583" s="93">
        <f>IF(K583="","",K583&amp;"|"&amp;O583)</f>
        <v/>
      </c>
    </row>
    <row r="584" ht="15" customHeight="1" s="134">
      <c r="K584" s="96" t="n"/>
      <c r="L584" s="96" t="n"/>
      <c r="M584" s="218" t="n"/>
      <c r="N584" s="132" t="n"/>
      <c r="O584" s="274">
        <f>IF(K584="","",COUNTIFS($K$12:K584,K584))</f>
        <v/>
      </c>
      <c r="P584" s="93">
        <f>IF(K584="","",K584&amp;"|"&amp;O584)</f>
        <v/>
      </c>
    </row>
    <row r="585" ht="15" customHeight="1" s="134">
      <c r="K585" s="96" t="n"/>
      <c r="L585" s="96" t="n"/>
      <c r="M585" s="218" t="n"/>
      <c r="N585" s="132" t="n"/>
      <c r="O585" s="274">
        <f>IF(K585="","",COUNTIFS($K$12:K585,K585))</f>
        <v/>
      </c>
      <c r="P585" s="93">
        <f>IF(K585="","",K585&amp;"|"&amp;O585)</f>
        <v/>
      </c>
    </row>
    <row r="586" ht="15" customHeight="1" s="134">
      <c r="K586" s="96" t="n"/>
      <c r="L586" s="96" t="n"/>
      <c r="M586" s="218" t="n"/>
      <c r="N586" s="132" t="n"/>
      <c r="O586" s="274">
        <f>IF(K586="","",COUNTIFS($K$12:K586,K586))</f>
        <v/>
      </c>
      <c r="P586" s="93">
        <f>IF(K586="","",K586&amp;"|"&amp;O586)</f>
        <v/>
      </c>
    </row>
    <row r="587" ht="15" customHeight="1" s="134">
      <c r="K587" s="96" t="n"/>
      <c r="L587" s="96" t="n"/>
      <c r="M587" s="218" t="n"/>
      <c r="N587" s="132" t="n"/>
      <c r="O587" s="274">
        <f>IF(K587="","",COUNTIFS($K$12:K587,K587))</f>
        <v/>
      </c>
      <c r="P587" s="93">
        <f>IF(K587="","",K587&amp;"|"&amp;O587)</f>
        <v/>
      </c>
    </row>
    <row r="588" ht="15" customHeight="1" s="134">
      <c r="K588" s="96" t="n"/>
      <c r="L588" s="96" t="n"/>
      <c r="M588" s="218" t="n"/>
      <c r="N588" s="132" t="n"/>
      <c r="O588" s="274">
        <f>IF(K588="","",COUNTIFS($K$12:K588,K588))</f>
        <v/>
      </c>
      <c r="P588" s="93">
        <f>IF(K588="","",K588&amp;"|"&amp;O588)</f>
        <v/>
      </c>
    </row>
    <row r="589" ht="15" customHeight="1" s="134">
      <c r="K589" s="96" t="n"/>
      <c r="L589" s="96" t="n"/>
      <c r="M589" s="218" t="n"/>
      <c r="N589" s="132" t="n"/>
      <c r="O589" s="274">
        <f>IF(K589="","",COUNTIFS($K$12:K589,K589))</f>
        <v/>
      </c>
      <c r="P589" s="93">
        <f>IF(K589="","",K589&amp;"|"&amp;O589)</f>
        <v/>
      </c>
    </row>
    <row r="590" ht="15" customHeight="1" s="134">
      <c r="K590" s="96" t="n"/>
      <c r="L590" s="96" t="n"/>
      <c r="M590" s="218" t="n"/>
      <c r="N590" s="132" t="n"/>
      <c r="O590" s="274">
        <f>IF(K590="","",COUNTIFS($K$12:K590,K590))</f>
        <v/>
      </c>
      <c r="P590" s="93">
        <f>IF(K590="","",K590&amp;"|"&amp;O590)</f>
        <v/>
      </c>
    </row>
    <row r="591" ht="15" customHeight="1" s="134">
      <c r="K591" s="96" t="n"/>
      <c r="L591" s="96" t="n"/>
      <c r="M591" s="218" t="n"/>
      <c r="N591" s="132" t="n"/>
      <c r="O591" s="274">
        <f>IF(K591="","",COUNTIFS($K$12:K591,K591))</f>
        <v/>
      </c>
      <c r="P591" s="93">
        <f>IF(K591="","",K591&amp;"|"&amp;O591)</f>
        <v/>
      </c>
    </row>
    <row r="592" ht="15" customHeight="1" s="134">
      <c r="K592" s="96" t="n"/>
      <c r="L592" s="96" t="n"/>
      <c r="M592" s="218" t="n"/>
      <c r="N592" s="132" t="n"/>
      <c r="O592" s="274">
        <f>IF(K592="","",COUNTIFS($K$12:K592,K592))</f>
        <v/>
      </c>
      <c r="P592" s="93">
        <f>IF(K592="","",K592&amp;"|"&amp;O592)</f>
        <v/>
      </c>
    </row>
    <row r="593" ht="15" customHeight="1" s="134">
      <c r="K593" s="96" t="n"/>
      <c r="L593" s="96" t="n"/>
      <c r="M593" s="218" t="n"/>
      <c r="N593" s="132" t="n"/>
      <c r="O593" s="274">
        <f>IF(K593="","",COUNTIFS($K$12:K593,K593))</f>
        <v/>
      </c>
      <c r="P593" s="93">
        <f>IF(K593="","",K593&amp;"|"&amp;O593)</f>
        <v/>
      </c>
    </row>
    <row r="594" ht="15" customHeight="1" s="134">
      <c r="K594" s="96" t="n"/>
      <c r="L594" s="96" t="n"/>
      <c r="M594" s="218" t="n"/>
      <c r="N594" s="132" t="n"/>
      <c r="O594" s="274">
        <f>IF(K594="","",COUNTIFS($K$12:K594,K594))</f>
        <v/>
      </c>
      <c r="P594" s="93">
        <f>IF(K594="","",K594&amp;"|"&amp;O594)</f>
        <v/>
      </c>
    </row>
    <row r="595" ht="15" customHeight="1" s="134">
      <c r="K595" s="96" t="n"/>
      <c r="L595" s="96" t="n"/>
      <c r="M595" s="218" t="n"/>
      <c r="N595" s="132" t="n"/>
      <c r="O595" s="274">
        <f>IF(K595="","",COUNTIFS($K$12:K595,K595))</f>
        <v/>
      </c>
      <c r="P595" s="93">
        <f>IF(K595="","",K595&amp;"|"&amp;O595)</f>
        <v/>
      </c>
    </row>
    <row r="596" ht="15" customHeight="1" s="134">
      <c r="K596" s="96" t="n"/>
      <c r="L596" s="96" t="n"/>
      <c r="M596" s="218" t="n"/>
      <c r="N596" s="132" t="n"/>
      <c r="O596" s="274">
        <f>IF(K596="","",COUNTIFS($K$12:K596,K596))</f>
        <v/>
      </c>
      <c r="P596" s="93">
        <f>IF(K596="","",K596&amp;"|"&amp;O596)</f>
        <v/>
      </c>
    </row>
    <row r="597" ht="15" customHeight="1" s="134">
      <c r="K597" s="96" t="n"/>
      <c r="L597" s="96" t="n"/>
      <c r="M597" s="218" t="n"/>
      <c r="N597" s="132" t="n"/>
      <c r="O597" s="274">
        <f>IF(K597="","",COUNTIFS($K$12:K597,K597))</f>
        <v/>
      </c>
      <c r="P597" s="93">
        <f>IF(K597="","",K597&amp;"|"&amp;O597)</f>
        <v/>
      </c>
    </row>
    <row r="598" ht="15" customHeight="1" s="134">
      <c r="K598" s="96" t="n"/>
      <c r="L598" s="96" t="n"/>
      <c r="M598" s="218" t="n"/>
      <c r="N598" s="132" t="n"/>
      <c r="O598" s="274">
        <f>IF(K598="","",COUNTIFS($K$12:K598,K598))</f>
        <v/>
      </c>
      <c r="P598" s="93">
        <f>IF(K598="","",K598&amp;"|"&amp;O598)</f>
        <v/>
      </c>
    </row>
    <row r="599" ht="15" customHeight="1" s="134">
      <c r="K599" s="96" t="n"/>
      <c r="L599" s="96" t="n"/>
      <c r="M599" s="218" t="n"/>
      <c r="N599" s="132" t="n"/>
      <c r="O599" s="274">
        <f>IF(K599="","",COUNTIFS($K$12:K599,K599))</f>
        <v/>
      </c>
      <c r="P599" s="93">
        <f>IF(K599="","",K599&amp;"|"&amp;O599)</f>
        <v/>
      </c>
    </row>
    <row r="600" ht="15" customHeight="1" s="134">
      <c r="K600" s="96" t="n"/>
      <c r="L600" s="96" t="n"/>
      <c r="M600" s="218" t="n"/>
      <c r="N600" s="132" t="n"/>
      <c r="O600" s="274">
        <f>IF(K600="","",COUNTIFS($K$12:K600,K600))</f>
        <v/>
      </c>
      <c r="P600" s="93">
        <f>IF(K600="","",K600&amp;"|"&amp;O600)</f>
        <v/>
      </c>
    </row>
    <row r="601" ht="15" customHeight="1" s="134">
      <c r="K601" s="96" t="n"/>
      <c r="L601" s="96" t="n"/>
      <c r="M601" s="218" t="n"/>
      <c r="N601" s="132" t="n"/>
      <c r="O601" s="274">
        <f>IF(K601="","",COUNTIFS($K$12:K601,K601))</f>
        <v/>
      </c>
      <c r="P601" s="93">
        <f>IF(K601="","",K601&amp;"|"&amp;O601)</f>
        <v/>
      </c>
    </row>
    <row r="602" ht="15" customHeight="1" s="134">
      <c r="K602" s="96" t="n"/>
      <c r="L602" s="96" t="n"/>
      <c r="M602" s="218" t="n"/>
      <c r="N602" s="132" t="n"/>
      <c r="O602" s="274">
        <f>IF(K602="","",COUNTIFS($K$12:K602,K602))</f>
        <v/>
      </c>
      <c r="P602" s="93">
        <f>IF(K602="","",K602&amp;"|"&amp;O602)</f>
        <v/>
      </c>
    </row>
    <row r="603" ht="15" customHeight="1" s="134">
      <c r="K603" s="96" t="n"/>
      <c r="L603" s="96" t="n"/>
      <c r="M603" s="218" t="n"/>
      <c r="N603" s="132" t="n"/>
      <c r="O603" s="274">
        <f>IF(K603="","",COUNTIFS($K$12:K603,K603))</f>
        <v/>
      </c>
      <c r="P603" s="93">
        <f>IF(K603="","",K603&amp;"|"&amp;O603)</f>
        <v/>
      </c>
    </row>
    <row r="604" ht="15" customHeight="1" s="134">
      <c r="K604" s="96" t="n"/>
      <c r="L604" s="96" t="n"/>
      <c r="M604" s="218" t="n"/>
      <c r="N604" s="132" t="n"/>
      <c r="O604" s="274">
        <f>IF(K604="","",COUNTIFS($K$12:K604,K604))</f>
        <v/>
      </c>
      <c r="P604" s="93">
        <f>IF(K604="","",K604&amp;"|"&amp;O604)</f>
        <v/>
      </c>
    </row>
    <row r="605" ht="15" customHeight="1" s="134">
      <c r="K605" s="96" t="n"/>
      <c r="L605" s="96" t="n"/>
      <c r="M605" s="218" t="n"/>
      <c r="N605" s="132" t="n"/>
      <c r="O605" s="274">
        <f>IF(K605="","",COUNTIFS($K$12:K605,K605))</f>
        <v/>
      </c>
      <c r="P605" s="93">
        <f>IF(K605="","",K605&amp;"|"&amp;O605)</f>
        <v/>
      </c>
    </row>
    <row r="606" ht="15" customHeight="1" s="134">
      <c r="K606" s="96" t="n"/>
      <c r="L606" s="96" t="n"/>
      <c r="M606" s="218" t="n"/>
      <c r="N606" s="132" t="n"/>
      <c r="O606" s="274">
        <f>IF(K606="","",COUNTIFS($K$12:K606,K606))</f>
        <v/>
      </c>
      <c r="P606" s="93">
        <f>IF(K606="","",K606&amp;"|"&amp;O606)</f>
        <v/>
      </c>
    </row>
    <row r="607" ht="15" customHeight="1" s="134">
      <c r="K607" s="96" t="n"/>
      <c r="L607" s="96" t="n"/>
      <c r="M607" s="218" t="n"/>
      <c r="N607" s="132" t="n"/>
      <c r="O607" s="274">
        <f>IF(K607="","",COUNTIFS($K$12:K607,K607))</f>
        <v/>
      </c>
      <c r="P607" s="93">
        <f>IF(K607="","",K607&amp;"|"&amp;O607)</f>
        <v/>
      </c>
    </row>
    <row r="608" ht="15" customHeight="1" s="134">
      <c r="K608" s="96" t="n"/>
      <c r="L608" s="96" t="n"/>
      <c r="M608" s="218" t="n"/>
      <c r="N608" s="132" t="n"/>
      <c r="O608" s="274">
        <f>IF(K608="","",COUNTIFS($K$12:K608,K608))</f>
        <v/>
      </c>
      <c r="P608" s="93">
        <f>IF(K608="","",K608&amp;"|"&amp;O608)</f>
        <v/>
      </c>
    </row>
    <row r="609" ht="15" customHeight="1" s="134">
      <c r="K609" s="96" t="n"/>
      <c r="L609" s="96" t="n"/>
      <c r="M609" s="218" t="n"/>
      <c r="N609" s="132" t="n"/>
      <c r="O609" s="274">
        <f>IF(K609="","",COUNTIFS($K$12:K609,K609))</f>
        <v/>
      </c>
      <c r="P609" s="93">
        <f>IF(K609="","",K609&amp;"|"&amp;O609)</f>
        <v/>
      </c>
    </row>
    <row r="610" ht="15" customHeight="1" s="134">
      <c r="K610" s="96" t="n"/>
      <c r="L610" s="96" t="n"/>
      <c r="M610" s="218" t="n"/>
      <c r="N610" s="132" t="n"/>
      <c r="O610" s="274">
        <f>IF(K610="","",COUNTIFS($K$12:K610,K610))</f>
        <v/>
      </c>
      <c r="P610" s="93">
        <f>IF(K610="","",K610&amp;"|"&amp;O610)</f>
        <v/>
      </c>
    </row>
    <row r="611" ht="15" customHeight="1" s="134">
      <c r="K611" s="96" t="n"/>
      <c r="L611" s="96" t="n"/>
      <c r="M611" s="218" t="n"/>
      <c r="N611" s="132" t="n"/>
      <c r="O611" s="274">
        <f>IF(K611="","",COUNTIFS($K$12:K611,K611))</f>
        <v/>
      </c>
      <c r="P611" s="93">
        <f>IF(K611="","",K611&amp;"|"&amp;O611)</f>
        <v/>
      </c>
    </row>
    <row r="612" ht="15" customHeight="1" s="134">
      <c r="K612" s="96" t="n"/>
      <c r="L612" s="96" t="n"/>
      <c r="M612" s="218" t="n"/>
      <c r="N612" s="132" t="n"/>
      <c r="O612" s="274">
        <f>IF(K612="","",COUNTIFS($K$12:K612,K612))</f>
        <v/>
      </c>
      <c r="P612" s="93">
        <f>IF(K612="","",K612&amp;"|"&amp;O612)</f>
        <v/>
      </c>
    </row>
    <row r="613" ht="15" customHeight="1" s="134">
      <c r="K613" s="96" t="n"/>
      <c r="L613" s="96" t="n"/>
      <c r="M613" s="218" t="n"/>
      <c r="N613" s="132" t="n"/>
      <c r="O613" s="274">
        <f>IF(K613="","",COUNTIFS($K$12:K613,K613))</f>
        <v/>
      </c>
      <c r="P613" s="93">
        <f>IF(K613="","",K613&amp;"|"&amp;O613)</f>
        <v/>
      </c>
    </row>
    <row r="614" ht="15" customHeight="1" s="134">
      <c r="K614" s="96" t="n"/>
      <c r="L614" s="96" t="n"/>
      <c r="M614" s="218" t="n"/>
      <c r="N614" s="132" t="n"/>
      <c r="O614" s="274">
        <f>IF(K614="","",COUNTIFS($K$12:K614,K614))</f>
        <v/>
      </c>
      <c r="P614" s="93">
        <f>IF(K614="","",K614&amp;"|"&amp;O614)</f>
        <v/>
      </c>
    </row>
    <row r="615" ht="15" customHeight="1" s="134">
      <c r="K615" s="96" t="n"/>
      <c r="L615" s="96" t="n"/>
      <c r="M615" s="218" t="n"/>
      <c r="N615" s="132" t="n"/>
      <c r="O615" s="274">
        <f>IF(K615="","",COUNTIFS($K$12:K615,K615))</f>
        <v/>
      </c>
      <c r="P615" s="93">
        <f>IF(K615="","",K615&amp;"|"&amp;O615)</f>
        <v/>
      </c>
    </row>
    <row r="616" ht="15" customHeight="1" s="134">
      <c r="K616" s="96" t="n"/>
      <c r="L616" s="96" t="n"/>
      <c r="M616" s="218" t="n"/>
      <c r="N616" s="132" t="n"/>
      <c r="O616" s="274">
        <f>IF(K616="","",COUNTIFS($K$12:K616,K616))</f>
        <v/>
      </c>
      <c r="P616" s="93">
        <f>IF(K616="","",K616&amp;"|"&amp;O616)</f>
        <v/>
      </c>
    </row>
    <row r="617" ht="15" customHeight="1" s="134">
      <c r="K617" s="96" t="n"/>
      <c r="L617" s="96" t="n"/>
      <c r="M617" s="218" t="n"/>
      <c r="N617" s="132" t="n"/>
      <c r="O617" s="274">
        <f>IF(K617="","",COUNTIFS($K$12:K617,K617))</f>
        <v/>
      </c>
      <c r="P617" s="93">
        <f>IF(K617="","",K617&amp;"|"&amp;O617)</f>
        <v/>
      </c>
    </row>
    <row r="618" ht="15" customHeight="1" s="134">
      <c r="K618" s="96" t="n"/>
      <c r="L618" s="96" t="n"/>
      <c r="M618" s="218" t="n"/>
      <c r="N618" s="132" t="n"/>
      <c r="O618" s="274">
        <f>IF(K618="","",COUNTIFS($K$12:K618,K618))</f>
        <v/>
      </c>
      <c r="P618" s="93">
        <f>IF(K618="","",K618&amp;"|"&amp;O618)</f>
        <v/>
      </c>
    </row>
    <row r="619" ht="15" customHeight="1" s="134">
      <c r="K619" s="96" t="n"/>
      <c r="L619" s="96" t="n"/>
      <c r="M619" s="218" t="n"/>
      <c r="N619" s="132" t="n"/>
      <c r="O619" s="274">
        <f>IF(K619="","",COUNTIFS($K$12:K619,K619))</f>
        <v/>
      </c>
      <c r="P619" s="93">
        <f>IF(K619="","",K619&amp;"|"&amp;O619)</f>
        <v/>
      </c>
    </row>
    <row r="620" ht="15" customHeight="1" s="134">
      <c r="K620" s="96" t="n"/>
      <c r="L620" s="96" t="n"/>
      <c r="M620" s="218" t="n"/>
      <c r="N620" s="132" t="n"/>
      <c r="O620" s="274">
        <f>IF(K620="","",COUNTIFS($K$12:K620,K620))</f>
        <v/>
      </c>
      <c r="P620" s="93">
        <f>IF(K620="","",K620&amp;"|"&amp;O620)</f>
        <v/>
      </c>
    </row>
    <row r="621" ht="15" customHeight="1" s="134">
      <c r="K621" s="96" t="n"/>
      <c r="L621" s="96" t="n"/>
      <c r="M621" s="218" t="n"/>
      <c r="N621" s="132" t="n"/>
      <c r="O621" s="274">
        <f>IF(K621="","",COUNTIFS($K$12:K621,K621))</f>
        <v/>
      </c>
      <c r="P621" s="93">
        <f>IF(K621="","",K621&amp;"|"&amp;O621)</f>
        <v/>
      </c>
    </row>
    <row r="622" ht="15" customHeight="1" s="134">
      <c r="K622" s="96" t="n"/>
      <c r="L622" s="96" t="n"/>
      <c r="M622" s="218" t="n"/>
      <c r="N622" s="132" t="n"/>
      <c r="O622" s="274">
        <f>IF(K622="","",COUNTIFS($K$12:K622,K622))</f>
        <v/>
      </c>
      <c r="P622" s="93">
        <f>IF(K622="","",K622&amp;"|"&amp;O622)</f>
        <v/>
      </c>
    </row>
    <row r="623" ht="15" customHeight="1" s="134">
      <c r="K623" s="96" t="n"/>
      <c r="L623" s="96" t="n"/>
      <c r="M623" s="218" t="n"/>
      <c r="N623" s="132" t="n"/>
      <c r="O623" s="274">
        <f>IF(K623="","",COUNTIFS($K$12:K623,K623))</f>
        <v/>
      </c>
      <c r="P623" s="93">
        <f>IF(K623="","",K623&amp;"|"&amp;O623)</f>
        <v/>
      </c>
    </row>
    <row r="624" ht="15" customHeight="1" s="134">
      <c r="K624" s="96" t="n"/>
      <c r="L624" s="96" t="n"/>
      <c r="M624" s="218" t="n"/>
      <c r="N624" s="132" t="n"/>
      <c r="O624" s="274">
        <f>IF(K624="","",COUNTIFS($K$12:K624,K624))</f>
        <v/>
      </c>
      <c r="P624" s="93">
        <f>IF(K624="","",K624&amp;"|"&amp;O624)</f>
        <v/>
      </c>
    </row>
    <row r="625" ht="15" customHeight="1" s="134">
      <c r="K625" s="96" t="n"/>
      <c r="L625" s="96" t="n"/>
      <c r="M625" s="218" t="n"/>
      <c r="N625" s="132" t="n"/>
      <c r="O625" s="274">
        <f>IF(K625="","",COUNTIFS($K$12:K625,K625))</f>
        <v/>
      </c>
      <c r="P625" s="93">
        <f>IF(K625="","",K625&amp;"|"&amp;O625)</f>
        <v/>
      </c>
    </row>
    <row r="626" ht="15" customHeight="1" s="134">
      <c r="K626" s="96" t="n"/>
      <c r="L626" s="96" t="n"/>
      <c r="M626" s="218" t="n"/>
      <c r="N626" s="132" t="n"/>
      <c r="O626" s="274">
        <f>IF(K626="","",COUNTIFS($K$12:K626,K626))</f>
        <v/>
      </c>
      <c r="P626" s="93">
        <f>IF(K626="","",K626&amp;"|"&amp;O626)</f>
        <v/>
      </c>
    </row>
    <row r="627" ht="15" customHeight="1" s="134">
      <c r="K627" s="96" t="n"/>
      <c r="L627" s="96" t="n"/>
      <c r="M627" s="218" t="n"/>
      <c r="N627" s="132" t="n"/>
      <c r="O627" s="274">
        <f>IF(K627="","",COUNTIFS($K$12:K627,K627))</f>
        <v/>
      </c>
      <c r="P627" s="93">
        <f>IF(K627="","",K627&amp;"|"&amp;O627)</f>
        <v/>
      </c>
    </row>
    <row r="628" ht="15" customHeight="1" s="134">
      <c r="K628" s="96" t="n"/>
      <c r="L628" s="96" t="n"/>
      <c r="M628" s="218" t="n"/>
      <c r="N628" s="132" t="n"/>
      <c r="O628" s="274">
        <f>IF(K628="","",COUNTIFS($K$12:K628,K628))</f>
        <v/>
      </c>
      <c r="P628" s="93">
        <f>IF(K628="","",K628&amp;"|"&amp;O628)</f>
        <v/>
      </c>
    </row>
    <row r="629" ht="15" customHeight="1" s="134">
      <c r="K629" s="96" t="n"/>
      <c r="L629" s="96" t="n"/>
      <c r="M629" s="218" t="n"/>
      <c r="N629" s="132" t="n"/>
      <c r="O629" s="274">
        <f>IF(K629="","",COUNTIFS($K$12:K629,K629))</f>
        <v/>
      </c>
      <c r="P629" s="93">
        <f>IF(K629="","",K629&amp;"|"&amp;O629)</f>
        <v/>
      </c>
    </row>
    <row r="630" ht="15" customHeight="1" s="134">
      <c r="K630" s="96" t="n"/>
      <c r="L630" s="96" t="n"/>
      <c r="M630" s="218" t="n"/>
      <c r="N630" s="132" t="n"/>
      <c r="O630" s="274">
        <f>IF(K630="","",COUNTIFS($K$12:K630,K630))</f>
        <v/>
      </c>
      <c r="P630" s="93">
        <f>IF(K630="","",K630&amp;"|"&amp;O630)</f>
        <v/>
      </c>
    </row>
    <row r="631" ht="15" customHeight="1" s="134">
      <c r="K631" s="96" t="n"/>
      <c r="L631" s="96" t="n"/>
      <c r="M631" s="218" t="n"/>
      <c r="N631" s="132" t="n"/>
      <c r="O631" s="274">
        <f>IF(K631="","",COUNTIFS($K$12:K631,K631))</f>
        <v/>
      </c>
      <c r="P631" s="93">
        <f>IF(K631="","",K631&amp;"|"&amp;O631)</f>
        <v/>
      </c>
    </row>
    <row r="632" ht="15" customHeight="1" s="134">
      <c r="K632" s="96" t="n"/>
      <c r="L632" s="96" t="n"/>
      <c r="M632" s="218" t="n"/>
      <c r="N632" s="132" t="n"/>
      <c r="O632" s="274">
        <f>IF(K632="","",COUNTIFS($K$12:K632,K632))</f>
        <v/>
      </c>
      <c r="P632" s="93">
        <f>IF(K632="","",K632&amp;"|"&amp;O632)</f>
        <v/>
      </c>
    </row>
    <row r="633" ht="15" customHeight="1" s="134">
      <c r="K633" s="96" t="n"/>
      <c r="L633" s="96" t="n"/>
      <c r="M633" s="218" t="n"/>
      <c r="N633" s="132" t="n"/>
      <c r="O633" s="274">
        <f>IF(K633="","",COUNTIFS($K$12:K633,K633))</f>
        <v/>
      </c>
      <c r="P633" s="93">
        <f>IF(K633="","",K633&amp;"|"&amp;O633)</f>
        <v/>
      </c>
    </row>
  </sheetData>
  <autoFilter ref="K11:N633"/>
  <mergeCells count="17">
    <mergeCell ref="A9:H9"/>
    <mergeCell ref="B72:H72"/>
    <mergeCell ref="B7:P7"/>
    <mergeCell ref="B6:P6"/>
    <mergeCell ref="A66:C66"/>
    <mergeCell ref="B71:H71"/>
    <mergeCell ref="A65:H65"/>
    <mergeCell ref="A1:P1"/>
    <mergeCell ref="B5:P5"/>
    <mergeCell ref="B69:H69"/>
    <mergeCell ref="B70:H70"/>
    <mergeCell ref="A68:H68"/>
    <mergeCell ref="G66:H66"/>
    <mergeCell ref="A3:P3"/>
    <mergeCell ref="B4:P4"/>
    <mergeCell ref="K10:N10"/>
    <mergeCell ref="K9:N9"/>
  </mergeCells>
  <dataValidations count="2">
    <dataValidation sqref="K12:K633" showDropDown="0" showInputMessage="0" showErrorMessage="0" allowBlank="1" errorTitle="年月不在清單內" error="請從清單選擇已存在的年月" type="list">
      <formula1>$A$12:$A$62</formula1>
      <formula2>0</formula2>
    </dataValidation>
    <dataValidation sqref="L12:L633" showDropDown="0" showInputMessage="0" showErrorMessage="0" allowBlank="1" errorTitle="類別不正確" error="類別只能是：教育費、保險費、醫療費 三選一" type="list">
      <formula1>"教育費,保險費,醫療費"</formula1>
      <formula2>0</formula2>
    </dataValidation>
  </dataValidations>
  <printOptions horizontalCentered="1"/>
  <pageMargins left="0.4" right="0.4" top="0.5" bottom="0.5" header="0.511811023622047" footer="0.511811023622047"/>
  <pageSetup orientation="landscape" paperSize="9" fitToHeight="0" horizontalDpi="300" verticalDpi="300"/>
</worksheet>
</file>

<file path=xl/worksheets/sheet11.xml><?xml version="1.0" encoding="utf-8"?>
<worksheet xmlns="http://schemas.openxmlformats.org/spreadsheetml/2006/main">
  <sheetPr>
    <tabColor rgb="FFBF8F00"/>
    <outlinePr summaryBelow="1" summaryRight="1"/>
    <pageSetUpPr/>
  </sheetPr>
  <dimension ref="A1:D39"/>
  <sheetViews>
    <sheetView showGridLines="0" zoomScaleNormal="100" workbookViewId="0">
      <selection activeCell="A1" sqref="A1:D1"/>
    </sheetView>
  </sheetViews>
  <sheetFormatPr baseColWidth="8" defaultColWidth="8.6640625" defaultRowHeight="14.25"/>
  <cols>
    <col width="8" customWidth="1" style="134" min="1" max="1"/>
    <col width="18" customWidth="1" style="134" min="2" max="2"/>
    <col width="16" customWidth="1" style="134" min="3" max="3"/>
    <col width="44" customWidth="1" style="134" min="4" max="4"/>
    <col width="4" customWidth="1" style="134" min="5" max="5"/>
  </cols>
  <sheetData>
    <row r="1" ht="36" customHeight="1" s="134">
      <c r="A1" s="139" t="inlineStr">
        <is>
          <t>🧾  育兒費請款單</t>
        </is>
      </c>
      <c r="B1" s="136" t="n"/>
      <c r="C1" s="136" t="n"/>
      <c r="D1" s="137" t="n"/>
    </row>
    <row r="2"/>
    <row r="3" ht="15" customHeight="1" s="134">
      <c r="A3" s="168" t="inlineStr">
        <is>
          <t>請款月份（可從下拉選單改選其他月份）</t>
        </is>
      </c>
      <c r="B3" s="141" t="n"/>
      <c r="C3" s="141" t="n"/>
      <c r="D3" s="142" t="n"/>
    </row>
    <row r="4" ht="21" customHeight="1" s="134">
      <c r="A4" s="219">
        <f>TEXT(YEAR(EDATE(TODAY(),-1))-1911,"0")&amp;"年"&amp;TEXT(MONTH(EDATE(TODAY(),-1)),"00")&amp;"月"</f>
        <v/>
      </c>
      <c r="B4" s="141" t="n"/>
      <c r="C4" s="141" t="n"/>
      <c r="D4" s="142" t="n"/>
    </row>
    <row r="5"/>
    <row r="6" ht="15" customHeight="1" s="134">
      <c r="A6" s="166" t="inlineStr">
        <is>
          <t>開立日期</t>
        </is>
      </c>
    </row>
    <row r="7" ht="15" customHeight="1" s="134">
      <c r="A7" s="164">
        <f>TEXT(TODAY(),"yyyy/mm/dd")</f>
        <v/>
      </c>
    </row>
    <row r="8"/>
    <row r="9" ht="21.75" customHeight="1" s="134">
      <c r="A9" s="135" t="inlineStr">
        <is>
          <t>費用明細</t>
        </is>
      </c>
      <c r="B9" s="136" t="n"/>
      <c r="C9" s="136" t="n"/>
      <c r="D9" s="137" t="n"/>
    </row>
    <row r="10" ht="15" customHeight="1" s="134">
      <c r="A10" s="160" t="inlineStr">
        <is>
          <t>序</t>
        </is>
      </c>
      <c r="B10" s="160" t="inlineStr">
        <is>
          <t>類別</t>
        </is>
      </c>
      <c r="C10" s="160" t="inlineStr">
        <is>
          <t>金額</t>
        </is>
      </c>
      <c r="D10" s="100" t="inlineStr">
        <is>
          <t>備註</t>
        </is>
      </c>
    </row>
    <row r="11" ht="15" customHeight="1" s="134">
      <c r="A11" s="101">
        <f>IF(B11="","",1)</f>
        <v/>
      </c>
      <c r="B11" s="102">
        <f>IFERROR(INDEX(育兒費!$L$12:$L$633,MATCH(A4&amp;"|"&amp;1,育兒費!$P$12:$P$633,0)),"")</f>
        <v/>
      </c>
      <c r="C11" s="277">
        <f>IFERROR(INDEX(育兒費!$M$12:$M$633,MATCH(A4&amp;"|"&amp;1,育兒費!$P$12:$P$633,0)),"")</f>
        <v/>
      </c>
      <c r="D11" s="98">
        <f>IFERROR(INDEX(育兒費!$N$12:$N$633,MATCH(A4&amp;"|"&amp;1,育兒費!$P$12:$P$633,0)),"")</f>
        <v/>
      </c>
    </row>
    <row r="12" ht="15" customHeight="1" s="134">
      <c r="A12" s="101">
        <f>IF(B12="","",2)</f>
        <v/>
      </c>
      <c r="B12" s="102">
        <f>IFERROR(INDEX(育兒費!$L$12:$L$633,MATCH(A4&amp;"|"&amp;2,育兒費!$P$12:$P$633,0)),"")</f>
        <v/>
      </c>
      <c r="C12" s="277">
        <f>IFERROR(INDEX(育兒費!$M$12:$M$633,MATCH(A4&amp;"|"&amp;2,育兒費!$P$12:$P$633,0)),"")</f>
        <v/>
      </c>
      <c r="D12" s="98">
        <f>IFERROR(INDEX(育兒費!$N$12:$N$633,MATCH(A4&amp;"|"&amp;2,育兒費!$P$12:$P$633,0)),"")</f>
        <v/>
      </c>
    </row>
    <row r="13" ht="15" customHeight="1" s="134">
      <c r="A13" s="101">
        <f>IF(B13="","",3)</f>
        <v/>
      </c>
      <c r="B13" s="102">
        <f>IFERROR(INDEX(育兒費!$L$12:$L$633,MATCH(A4&amp;"|"&amp;3,育兒費!$P$12:$P$633,0)),"")</f>
        <v/>
      </c>
      <c r="C13" s="277">
        <f>IFERROR(INDEX(育兒費!$M$12:$M$633,MATCH(A4&amp;"|"&amp;3,育兒費!$P$12:$P$633,0)),"")</f>
        <v/>
      </c>
      <c r="D13" s="98">
        <f>IFERROR(INDEX(育兒費!$N$12:$N$633,MATCH(A4&amp;"|"&amp;3,育兒費!$P$12:$P$633,0)),"")</f>
        <v/>
      </c>
    </row>
    <row r="14" ht="15" customHeight="1" s="134">
      <c r="A14" s="101">
        <f>IF(B14="","",4)</f>
        <v/>
      </c>
      <c r="B14" s="102">
        <f>IFERROR(INDEX(育兒費!$L$12:$L$633,MATCH(A4&amp;"|"&amp;4,育兒費!$P$12:$P$633,0)),"")</f>
        <v/>
      </c>
      <c r="C14" s="277">
        <f>IFERROR(INDEX(育兒費!$M$12:$M$633,MATCH(A4&amp;"|"&amp;4,育兒費!$P$12:$P$633,0)),"")</f>
        <v/>
      </c>
      <c r="D14" s="98">
        <f>IFERROR(INDEX(育兒費!$N$12:$N$633,MATCH(A4&amp;"|"&amp;4,育兒費!$P$12:$P$633,0)),"")</f>
        <v/>
      </c>
    </row>
    <row r="15" ht="15" customHeight="1" s="134">
      <c r="A15" s="101">
        <f>IF(B15="","",5)</f>
        <v/>
      </c>
      <c r="B15" s="102">
        <f>IFERROR(INDEX(育兒費!$L$12:$L$633,MATCH(A4&amp;"|"&amp;5,育兒費!$P$12:$P$633,0)),"")</f>
        <v/>
      </c>
      <c r="C15" s="277">
        <f>IFERROR(INDEX(育兒費!$M$12:$M$633,MATCH(A4&amp;"|"&amp;5,育兒費!$P$12:$P$633,0)),"")</f>
        <v/>
      </c>
      <c r="D15" s="98">
        <f>IFERROR(INDEX(育兒費!$N$12:$N$633,MATCH(A4&amp;"|"&amp;5,育兒費!$P$12:$P$633,0)),"")</f>
        <v/>
      </c>
    </row>
    <row r="16" ht="15" customHeight="1" s="134">
      <c r="A16" s="101">
        <f>IF(B16="","",6)</f>
        <v/>
      </c>
      <c r="B16" s="102">
        <f>IFERROR(INDEX(育兒費!$L$12:$L$633,MATCH(A4&amp;"|"&amp;6,育兒費!$P$12:$P$633,0)),"")</f>
        <v/>
      </c>
      <c r="C16" s="277">
        <f>IFERROR(INDEX(育兒費!$M$12:$M$633,MATCH(A4&amp;"|"&amp;6,育兒費!$P$12:$P$633,0)),"")</f>
        <v/>
      </c>
      <c r="D16" s="98">
        <f>IFERROR(INDEX(育兒費!$N$12:$N$633,MATCH(A4&amp;"|"&amp;6,育兒費!$P$12:$P$633,0)),"")</f>
        <v/>
      </c>
    </row>
    <row r="17" ht="15" customHeight="1" s="134">
      <c r="A17" s="101">
        <f>IF(B17="","",7)</f>
        <v/>
      </c>
      <c r="B17" s="102">
        <f>IFERROR(INDEX(育兒費!$L$12:$L$633,MATCH(A4&amp;"|"&amp;7,育兒費!$P$12:$P$633,0)),"")</f>
        <v/>
      </c>
      <c r="C17" s="277">
        <f>IFERROR(INDEX(育兒費!$M$12:$M$633,MATCH(A4&amp;"|"&amp;7,育兒費!$P$12:$P$633,0)),"")</f>
        <v/>
      </c>
      <c r="D17" s="98">
        <f>IFERROR(INDEX(育兒費!$N$12:$N$633,MATCH(A4&amp;"|"&amp;7,育兒費!$P$12:$P$633,0)),"")</f>
        <v/>
      </c>
    </row>
    <row r="18" ht="15" customHeight="1" s="134">
      <c r="A18" s="101">
        <f>IF(B18="","",8)</f>
        <v/>
      </c>
      <c r="B18" s="102">
        <f>IFERROR(INDEX(育兒費!$L$12:$L$633,MATCH(A4&amp;"|"&amp;8,育兒費!$P$12:$P$633,0)),"")</f>
        <v/>
      </c>
      <c r="C18" s="277">
        <f>IFERROR(INDEX(育兒費!$M$12:$M$633,MATCH(A4&amp;"|"&amp;8,育兒費!$P$12:$P$633,0)),"")</f>
        <v/>
      </c>
      <c r="D18" s="98">
        <f>IFERROR(INDEX(育兒費!$N$12:$N$633,MATCH(A4&amp;"|"&amp;8,育兒費!$P$12:$P$633,0)),"")</f>
        <v/>
      </c>
    </row>
    <row r="19" ht="15" customHeight="1" s="134">
      <c r="A19" s="101">
        <f>IF(B19="","",9)</f>
        <v/>
      </c>
      <c r="B19" s="102">
        <f>IFERROR(INDEX(育兒費!$L$12:$L$633,MATCH(A4&amp;"|"&amp;9,育兒費!$P$12:$P$633,0)),"")</f>
        <v/>
      </c>
      <c r="C19" s="277">
        <f>IFERROR(INDEX(育兒費!$M$12:$M$633,MATCH(A4&amp;"|"&amp;9,育兒費!$P$12:$P$633,0)),"")</f>
        <v/>
      </c>
      <c r="D19" s="98">
        <f>IFERROR(INDEX(育兒費!$N$12:$N$633,MATCH(A4&amp;"|"&amp;9,育兒費!$P$12:$P$633,0)),"")</f>
        <v/>
      </c>
    </row>
    <row r="20" ht="15" customHeight="1" s="134">
      <c r="A20" s="101">
        <f>IF(B20="","",10)</f>
        <v/>
      </c>
      <c r="B20" s="102">
        <f>IFERROR(INDEX(育兒費!$L$12:$L$633,MATCH(A4&amp;"|"&amp;10,育兒費!$P$12:$P$633,0)),"")</f>
        <v/>
      </c>
      <c r="C20" s="277">
        <f>IFERROR(INDEX(育兒費!$M$12:$M$633,MATCH(A4&amp;"|"&amp;10,育兒費!$P$12:$P$633,0)),"")</f>
        <v/>
      </c>
      <c r="D20" s="98">
        <f>IFERROR(INDEX(育兒費!$N$12:$N$633,MATCH(A4&amp;"|"&amp;10,育兒費!$P$12:$P$633,0)),"")</f>
        <v/>
      </c>
    </row>
    <row r="21" ht="15" customHeight="1" s="134">
      <c r="A21" s="101">
        <f>IF(B21="","",11)</f>
        <v/>
      </c>
      <c r="B21" s="102">
        <f>IFERROR(INDEX(育兒費!$L$12:$L$633,MATCH(A4&amp;"|"&amp;11,育兒費!$P$12:$P$633,0)),"")</f>
        <v/>
      </c>
      <c r="C21" s="277">
        <f>IFERROR(INDEX(育兒費!$M$12:$M$633,MATCH(A4&amp;"|"&amp;11,育兒費!$P$12:$P$633,0)),"")</f>
        <v/>
      </c>
      <c r="D21" s="98">
        <f>IFERROR(INDEX(育兒費!$N$12:$N$633,MATCH(A4&amp;"|"&amp;11,育兒費!$P$12:$P$633,0)),"")</f>
        <v/>
      </c>
    </row>
    <row r="22" ht="15" customHeight="1" s="134">
      <c r="A22" s="101">
        <f>IF(B22="","",12)</f>
        <v/>
      </c>
      <c r="B22" s="102">
        <f>IFERROR(INDEX(育兒費!$L$12:$L$633,MATCH(A4&amp;"|"&amp;12,育兒費!$P$12:$P$633,0)),"")</f>
        <v/>
      </c>
      <c r="C22" s="277">
        <f>IFERROR(INDEX(育兒費!$M$12:$M$633,MATCH(A4&amp;"|"&amp;12,育兒費!$P$12:$P$633,0)),"")</f>
        <v/>
      </c>
      <c r="D22" s="98">
        <f>IFERROR(INDEX(育兒費!$N$12:$N$633,MATCH(A4&amp;"|"&amp;12,育兒費!$P$12:$P$633,0)),"")</f>
        <v/>
      </c>
    </row>
    <row r="23" ht="15" customHeight="1" s="134">
      <c r="A23" s="101">
        <f>IF(B23="","",13)</f>
        <v/>
      </c>
      <c r="B23" s="102">
        <f>IFERROR(INDEX(育兒費!$L$12:$L$633,MATCH(A4&amp;"|"&amp;13,育兒費!$P$12:$P$633,0)),"")</f>
        <v/>
      </c>
      <c r="C23" s="277">
        <f>IFERROR(INDEX(育兒費!$M$12:$M$633,MATCH(A4&amp;"|"&amp;13,育兒費!$P$12:$P$633,0)),"")</f>
        <v/>
      </c>
      <c r="D23" s="98">
        <f>IFERROR(INDEX(育兒費!$N$12:$N$633,MATCH(A4&amp;"|"&amp;13,育兒費!$P$12:$P$633,0)),"")</f>
        <v/>
      </c>
    </row>
    <row r="24" ht="15" customHeight="1" s="134">
      <c r="A24" s="101">
        <f>IF(B24="","",14)</f>
        <v/>
      </c>
      <c r="B24" s="102">
        <f>IFERROR(INDEX(育兒費!$L$12:$L$633,MATCH(A4&amp;"|"&amp;14,育兒費!$P$12:$P$633,0)),"")</f>
        <v/>
      </c>
      <c r="C24" s="277">
        <f>IFERROR(INDEX(育兒費!$M$12:$M$633,MATCH(A4&amp;"|"&amp;14,育兒費!$P$12:$P$633,0)),"")</f>
        <v/>
      </c>
      <c r="D24" s="98">
        <f>IFERROR(INDEX(育兒費!$N$12:$N$633,MATCH(A4&amp;"|"&amp;14,育兒費!$P$12:$P$633,0)),"")</f>
        <v/>
      </c>
    </row>
    <row r="25" ht="15" customHeight="1" s="134">
      <c r="A25" s="101">
        <f>IF(B25="","",15)</f>
        <v/>
      </c>
      <c r="B25" s="102">
        <f>IFERROR(INDEX(育兒費!$L$12:$L$633,MATCH(A4&amp;"|"&amp;15,育兒費!$P$12:$P$633,0)),"")</f>
        <v/>
      </c>
      <c r="C25" s="277">
        <f>IFERROR(INDEX(育兒費!$M$12:$M$633,MATCH(A4&amp;"|"&amp;15,育兒費!$P$12:$P$633,0)),"")</f>
        <v/>
      </c>
      <c r="D25" s="98">
        <f>IFERROR(INDEX(育兒費!$N$12:$N$633,MATCH(A4&amp;"|"&amp;15,育兒費!$P$12:$P$633,0)),"")</f>
        <v/>
      </c>
    </row>
    <row r="26" ht="15" customHeight="1" s="134">
      <c r="A26" s="101">
        <f>IF(B26="","",16)</f>
        <v/>
      </c>
      <c r="B26" s="102">
        <f>IFERROR(INDEX(育兒費!$L$12:$L$633,MATCH(A4&amp;"|"&amp;16,育兒費!$P$12:$P$633,0)),"")</f>
        <v/>
      </c>
      <c r="C26" s="277">
        <f>IFERROR(INDEX(育兒費!$M$12:$M$633,MATCH(A4&amp;"|"&amp;16,育兒費!$P$12:$P$633,0)),"")</f>
        <v/>
      </c>
      <c r="D26" s="98">
        <f>IFERROR(INDEX(育兒費!$N$12:$N$633,MATCH(A4&amp;"|"&amp;16,育兒費!$P$12:$P$633,0)),"")</f>
        <v/>
      </c>
    </row>
    <row r="27" ht="15" customHeight="1" s="134">
      <c r="A27" s="101">
        <f>IF(B27="","",17)</f>
        <v/>
      </c>
      <c r="B27" s="102">
        <f>IFERROR(INDEX(育兒費!$L$12:$L$633,MATCH(A4&amp;"|"&amp;17,育兒費!$P$12:$P$633,0)),"")</f>
        <v/>
      </c>
      <c r="C27" s="277">
        <f>IFERROR(INDEX(育兒費!$M$12:$M$633,MATCH(A4&amp;"|"&amp;17,育兒費!$P$12:$P$633,0)),"")</f>
        <v/>
      </c>
      <c r="D27" s="98">
        <f>IFERROR(INDEX(育兒費!$N$12:$N$633,MATCH(A4&amp;"|"&amp;17,育兒費!$P$12:$P$633,0)),"")</f>
        <v/>
      </c>
    </row>
    <row r="28" ht="15" customHeight="1" s="134">
      <c r="A28" s="101">
        <f>IF(B28="","",18)</f>
        <v/>
      </c>
      <c r="B28" s="102">
        <f>IFERROR(INDEX(育兒費!$L$12:$L$633,MATCH(A4&amp;"|"&amp;18,育兒費!$P$12:$P$633,0)),"")</f>
        <v/>
      </c>
      <c r="C28" s="277">
        <f>IFERROR(INDEX(育兒費!$M$12:$M$633,MATCH(A4&amp;"|"&amp;18,育兒費!$P$12:$P$633,0)),"")</f>
        <v/>
      </c>
      <c r="D28" s="98">
        <f>IFERROR(INDEX(育兒費!$N$12:$N$633,MATCH(A4&amp;"|"&amp;18,育兒費!$P$12:$P$633,0)),"")</f>
        <v/>
      </c>
    </row>
    <row r="29"/>
    <row r="30" ht="21.75" customHeight="1" s="134">
      <c r="A30" s="135" t="inlineStr">
        <is>
          <t>金額彙總</t>
        </is>
      </c>
      <c r="B30" s="136" t="n"/>
      <c r="C30" s="136" t="n"/>
      <c r="D30" s="137" t="n"/>
    </row>
    <row r="31" ht="15" customHeight="1" s="134">
      <c r="A31" s="178" t="inlineStr">
        <is>
          <t>教育費</t>
        </is>
      </c>
      <c r="B31" s="141" t="n"/>
      <c r="C31" s="142" t="n"/>
      <c r="D31" s="278">
        <f>IFERROR(INDEX(育兒費!$B$12:$B$62,MATCH(A4,育兒費!$A$12:$A$62,0)),0)</f>
        <v/>
      </c>
    </row>
    <row r="32" ht="15" customHeight="1" s="134">
      <c r="A32" s="178" t="inlineStr">
        <is>
          <t>保險費</t>
        </is>
      </c>
      <c r="B32" s="141" t="n"/>
      <c r="C32" s="142" t="n"/>
      <c r="D32" s="278">
        <f>IFERROR(INDEX(育兒費!$C$12:$C$62,MATCH(A4,育兒費!$A$12:$A$62,0)),0)</f>
        <v/>
      </c>
    </row>
    <row r="33" ht="15" customHeight="1" s="134">
      <c r="A33" s="178" t="inlineStr">
        <is>
          <t>醫療費</t>
        </is>
      </c>
      <c r="B33" s="141" t="n"/>
      <c r="C33" s="142" t="n"/>
      <c r="D33" s="278">
        <f>IFERROR(INDEX(育兒費!$D$12:$D$62,MATCH(A4,育兒費!$A$12:$A$62,0)),0)</f>
        <v/>
      </c>
    </row>
    <row r="34" ht="15" customHeight="1" s="134">
      <c r="A34" s="168" t="inlineStr">
        <is>
          <t>費用總和</t>
        </is>
      </c>
      <c r="B34" s="141" t="n"/>
      <c r="C34" s="142" t="n"/>
      <c r="D34" s="222">
        <f>IFERROR(INDEX(育兒費!$E$12:$E$62,MATCH(A4,育兒費!$A$12:$A$62,0)),0)</f>
        <v/>
      </c>
    </row>
    <row r="35"/>
    <row r="36" ht="21.75" customHeight="1" s="134">
      <c r="A36" s="135" t="inlineStr">
        <is>
          <t>💰 應付金額（各半均攤）</t>
        </is>
      </c>
      <c r="B36" s="136" t="n"/>
      <c r="C36" s="136" t="n"/>
      <c r="D36" s="137" t="n"/>
    </row>
    <row r="37" ht="31.5" customHeight="1" s="134">
      <c r="A37" s="223">
        <f>"本月應付金額：$"&amp;TEXT(D34/2,"#,##0")&amp;" 元"</f>
        <v/>
      </c>
      <c r="B37" s="141" t="n"/>
      <c r="C37" s="141" t="n"/>
      <c r="D37" s="142" t="n"/>
    </row>
    <row r="38"/>
    <row r="39" ht="36" customHeight="1" s="134">
      <c r="A39" s="138" t="inlineStr">
        <is>
          <t>💡 使用方式：在最上方選擇要請款的月份（預設自動抓上個月），下面所有明細與金額會自動帶出，確認無誤後直接「列印」或「另存為PDF」寄給對方即可。此表格不會影響其他分頁的任何計算。</t>
        </is>
      </c>
    </row>
  </sheetData>
  <mergeCells count="14">
    <mergeCell ref="A1:D1"/>
    <mergeCell ref="A37:D37"/>
    <mergeCell ref="A9:D9"/>
    <mergeCell ref="A33:C33"/>
    <mergeCell ref="A6:D6"/>
    <mergeCell ref="A32:C32"/>
    <mergeCell ref="A4:D4"/>
    <mergeCell ref="A31:C31"/>
    <mergeCell ref="A3:D3"/>
    <mergeCell ref="A30:D30"/>
    <mergeCell ref="A39:D39"/>
    <mergeCell ref="A7:D7"/>
    <mergeCell ref="A34:C34"/>
    <mergeCell ref="A36:D36"/>
  </mergeCells>
  <dataValidations count="1">
    <dataValidation sqref="A4" showDropDown="0" showInputMessage="0" showErrorMessage="0" allowBlank="1" errorTitle="月份格式錯誤" error="請從下拉選單選擇一個已存在的月份（格式須與「育兒費」分頁的年月一致，例如115年09月）" promptTitle="請款月份" prompt="點這個儲存格右側會出現下拉箭頭，可選擇「育兒費」分頁裡已有資料的月份" type="list">
      <formula1>=請款單月份清單</formula1>
    </dataValidation>
  </dataValidations>
  <printOptions horizontalCentered="1"/>
  <pageMargins left="0.5" right="0.5" top="0.5" bottom="0.5" header="0.511811023622047" footer="0.511811023622047"/>
  <pageSetup orientation="portrait" paperSize="9" scale="107" horizontalDpi="300" verticalDpi="300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 fitToPage="1"/>
  </sheetPr>
  <dimension ref="A1:I27"/>
  <sheetViews>
    <sheetView showGridLines="0" zoomScaleNormal="100" workbookViewId="0">
      <pane ySplit="4" topLeftCell="A5" activePane="bottomLeft" state="frozen"/>
      <selection pane="bottomLeft" activeCell="A1" sqref="A1:I1"/>
    </sheetView>
  </sheetViews>
  <sheetFormatPr baseColWidth="8" defaultColWidth="8.6640625" defaultRowHeight="14.25"/>
  <cols>
    <col width="6" customWidth="1" style="134" min="1" max="1"/>
    <col width="10" customWidth="1" style="134" min="2" max="4"/>
    <col width="13" customWidth="1" style="134" min="3" max="3"/>
    <col width="13" customWidth="1" style="134" min="4" max="4"/>
    <col width="11" customWidth="1" style="134" min="5" max="5"/>
    <col width="9" customWidth="1" style="134" min="6" max="6"/>
    <col width="13" customWidth="1" style="134" min="7" max="7"/>
    <col width="10" customWidth="1" style="134" min="8" max="8"/>
    <col width="13" customWidth="1" style="134" min="9" max="9"/>
  </cols>
  <sheetData>
    <row r="1" ht="31.5" customHeight="1" s="134">
      <c r="A1" s="153" t="inlineStr">
        <is>
          <t>📈  股票投資紀錄（家妍投資）</t>
        </is>
      </c>
      <c r="B1" s="136" t="n"/>
      <c r="C1" s="136" t="n"/>
      <c r="D1" s="136" t="n"/>
      <c r="E1" s="136" t="n"/>
      <c r="F1" s="136" t="n"/>
      <c r="G1" s="136" t="n"/>
      <c r="H1" s="136" t="n"/>
      <c r="I1" s="137" t="n"/>
    </row>
    <row r="2"/>
    <row r="3" ht="21.75" customHeight="1" s="134">
      <c r="A3" s="135" t="inlineStr">
        <is>
          <t>買入記錄</t>
        </is>
      </c>
      <c r="B3" s="136" t="n"/>
      <c r="C3" s="136" t="n"/>
      <c r="D3" s="136" t="n"/>
      <c r="E3" s="136" t="n"/>
      <c r="F3" s="136" t="n"/>
      <c r="G3" s="136" t="n"/>
      <c r="H3" s="136" t="n"/>
      <c r="I3" s="137" t="n"/>
    </row>
    <row r="4" ht="15" customHeight="1" s="134">
      <c r="A4" s="160" t="inlineStr">
        <is>
          <t>序</t>
        </is>
      </c>
      <c r="B4" s="160" t="inlineStr">
        <is>
          <t>日期</t>
        </is>
      </c>
      <c r="C4" s="160" t="inlineStr">
        <is>
          <t>台幣收入</t>
        </is>
      </c>
      <c r="D4" s="160" t="inlineStr">
        <is>
          <t>美金轉匯</t>
        </is>
      </c>
      <c r="E4" s="160" t="inlineStr">
        <is>
          <t>實際支出</t>
        </is>
      </c>
      <c r="F4" s="160" t="inlineStr">
        <is>
          <t>標的</t>
        </is>
      </c>
      <c r="G4" s="160" t="inlineStr">
        <is>
          <t>股數</t>
        </is>
      </c>
      <c r="H4" s="160" t="inlineStr">
        <is>
          <t>價格</t>
        </is>
      </c>
      <c r="I4" s="160" t="inlineStr">
        <is>
          <t>證券商</t>
        </is>
      </c>
    </row>
    <row r="5" ht="15" customHeight="1" s="134">
      <c r="A5" s="46" t="n">
        <v>1</v>
      </c>
      <c r="B5" s="53" t="inlineStr">
        <is>
          <t>1141001</t>
        </is>
      </c>
      <c r="C5" s="252" t="n">
        <v>15000</v>
      </c>
      <c r="D5" s="195" t="n"/>
      <c r="E5" s="249" t="n">
        <v>15000</v>
      </c>
      <c r="F5" s="53" t="inlineStr">
        <is>
          <t>00989A</t>
        </is>
      </c>
      <c r="G5" s="279" t="n">
        <v>1000</v>
      </c>
      <c r="H5" s="280" t="n">
        <v>15</v>
      </c>
      <c r="I5" s="46" t="inlineStr">
        <is>
          <t>永豐金</t>
        </is>
      </c>
    </row>
    <row r="6" ht="15" customHeight="1" s="134">
      <c r="A6" s="46" t="n">
        <v>2</v>
      </c>
      <c r="B6" s="53" t="inlineStr">
        <is>
          <t>1141009</t>
        </is>
      </c>
      <c r="C6" s="252" t="n">
        <v>200500</v>
      </c>
      <c r="D6" s="249" t="n">
        <v>6551.22</v>
      </c>
      <c r="E6" s="249" t="n">
        <v>6335.59</v>
      </c>
      <c r="F6" s="53" t="inlineStr">
        <is>
          <t>OKLO</t>
        </is>
      </c>
      <c r="G6" s="279" t="n">
        <v>22</v>
      </c>
      <c r="H6" s="280" t="n">
        <v>139.2</v>
      </c>
      <c r="I6" s="46" t="inlineStr">
        <is>
          <t>永豐金</t>
        </is>
      </c>
    </row>
    <row r="7" ht="15" customHeight="1" s="134">
      <c r="A7" s="46" t="n">
        <v>3</v>
      </c>
      <c r="B7" s="46" t="n"/>
      <c r="C7" s="192" t="n"/>
      <c r="D7" s="195" t="n"/>
      <c r="E7" s="195" t="n"/>
      <c r="F7" s="53" t="inlineStr">
        <is>
          <t>NLR</t>
        </is>
      </c>
      <c r="G7" s="279" t="n">
        <v>22</v>
      </c>
      <c r="H7" s="280" t="n">
        <v>148.35</v>
      </c>
      <c r="I7" s="46" t="inlineStr">
        <is>
          <t>永豐金</t>
        </is>
      </c>
    </row>
    <row r="8" ht="15" customHeight="1" s="134">
      <c r="A8" s="46" t="n">
        <v>4</v>
      </c>
      <c r="B8" s="53" t="inlineStr">
        <is>
          <t>1141104</t>
        </is>
      </c>
      <c r="C8" s="252" t="n">
        <v>100000</v>
      </c>
      <c r="D8" s="249" t="n">
        <v>3229.35</v>
      </c>
      <c r="E8" s="249" t="n">
        <v>3337</v>
      </c>
      <c r="F8" s="53" t="inlineStr">
        <is>
          <t>OKLO</t>
        </is>
      </c>
      <c r="G8" s="279" t="n">
        <v>28</v>
      </c>
      <c r="H8" s="280" t="n">
        <v>119</v>
      </c>
      <c r="I8" s="46" t="inlineStr">
        <is>
          <t>永豐金</t>
        </is>
      </c>
    </row>
    <row r="9" ht="15" customHeight="1" s="134">
      <c r="A9" s="46" t="n">
        <v>5</v>
      </c>
      <c r="B9" s="53" t="inlineStr">
        <is>
          <t>1141114</t>
        </is>
      </c>
      <c r="C9" s="252" t="n">
        <v>50000</v>
      </c>
      <c r="D9" s="249" t="n">
        <v>1602</v>
      </c>
      <c r="E9" s="249" t="n">
        <v>1624.57</v>
      </c>
      <c r="F9" s="53" t="inlineStr">
        <is>
          <t>NLR</t>
        </is>
      </c>
      <c r="G9" s="279" t="n">
        <v>13</v>
      </c>
      <c r="H9" s="280" t="n">
        <v>124.78</v>
      </c>
      <c r="I9" s="46" t="inlineStr">
        <is>
          <t>永豐金</t>
        </is>
      </c>
    </row>
    <row r="10" ht="15" customHeight="1" s="134">
      <c r="A10" s="46" t="n">
        <v>6</v>
      </c>
      <c r="B10" s="53" t="inlineStr">
        <is>
          <t>1141118</t>
        </is>
      </c>
      <c r="C10" s="252" t="n">
        <v>50000</v>
      </c>
      <c r="D10" s="249" t="n">
        <v>1600.51</v>
      </c>
      <c r="E10" s="249" t="n">
        <v>1677.56</v>
      </c>
      <c r="F10" s="53" t="inlineStr">
        <is>
          <t>OKLO</t>
        </is>
      </c>
      <c r="G10" s="279" t="n">
        <v>17</v>
      </c>
      <c r="H10" s="280" t="n">
        <v>98.68000000000001</v>
      </c>
      <c r="I10" s="46" t="inlineStr">
        <is>
          <t>永豐金</t>
        </is>
      </c>
    </row>
    <row r="11" ht="15" customHeight="1" s="134">
      <c r="A11" s="46" t="n">
        <v>7</v>
      </c>
      <c r="B11" s="53" t="inlineStr">
        <is>
          <t>1150203</t>
        </is>
      </c>
      <c r="C11" s="252" t="n">
        <v>50000</v>
      </c>
      <c r="D11" s="249" t="n">
        <v>1580.78</v>
      </c>
      <c r="E11" s="249" t="n">
        <v>1650</v>
      </c>
      <c r="F11" s="53" t="inlineStr">
        <is>
          <t>OKLO</t>
        </is>
      </c>
      <c r="G11" s="279" t="n">
        <v>22</v>
      </c>
      <c r="H11" s="280" t="n">
        <v>75</v>
      </c>
      <c r="I11" s="46" t="inlineStr">
        <is>
          <t>永豐金</t>
        </is>
      </c>
    </row>
    <row r="12" ht="15" customHeight="1" s="134">
      <c r="A12" s="46" t="n">
        <v>8</v>
      </c>
      <c r="B12" s="53" t="inlineStr">
        <is>
          <t>1150519</t>
        </is>
      </c>
      <c r="C12" s="252" t="n">
        <v>5507</v>
      </c>
      <c r="D12" s="195" t="n"/>
      <c r="E12" s="249" t="n">
        <v>5507</v>
      </c>
      <c r="F12" s="53" t="inlineStr">
        <is>
          <t>00989A</t>
        </is>
      </c>
      <c r="G12" s="279" t="n">
        <v>100</v>
      </c>
      <c r="H12" s="280" t="n">
        <v>55</v>
      </c>
      <c r="I12" s="46" t="inlineStr">
        <is>
          <t>永豐金</t>
        </is>
      </c>
    </row>
    <row r="13" ht="15" customHeight="1" s="134">
      <c r="A13" s="46" t="n">
        <v>9</v>
      </c>
      <c r="B13" s="53" t="inlineStr">
        <is>
          <t>1150624</t>
        </is>
      </c>
      <c r="C13" s="252" t="n">
        <v>1800</v>
      </c>
      <c r="D13" s="195" t="n"/>
      <c r="E13" s="249" t="n">
        <v>1752</v>
      </c>
      <c r="F13" s="53" t="inlineStr">
        <is>
          <t>00989A</t>
        </is>
      </c>
      <c r="G13" s="279" t="n">
        <v>2</v>
      </c>
      <c r="H13" s="280" t="n">
        <v>875</v>
      </c>
      <c r="I13" s="46" t="inlineStr">
        <is>
          <t>永豐金</t>
        </is>
      </c>
    </row>
    <row r="14" ht="16.5" customHeight="1" s="134">
      <c r="A14" s="168" t="inlineStr">
        <is>
          <t>共投入金額(台幣)</t>
        </is>
      </c>
      <c r="B14" s="142" t="n"/>
      <c r="C14" s="172">
        <f>SUM(C5:C13)</f>
        <v/>
      </c>
      <c r="D14" s="155" t="n"/>
      <c r="E14" s="155" t="n"/>
      <c r="F14" s="155" t="n"/>
      <c r="G14" s="155" t="n"/>
      <c r="H14" s="155" t="n"/>
      <c r="I14" s="155" t="n"/>
    </row>
    <row r="15"/>
    <row r="16" ht="21.75" customHeight="1" s="134">
      <c r="A16" s="135" t="inlineStr">
        <is>
          <t>賣出記錄</t>
        </is>
      </c>
      <c r="B16" s="136" t="n"/>
      <c r="C16" s="136" t="n"/>
      <c r="D16" s="136" t="n"/>
      <c r="E16" s="136" t="n"/>
      <c r="F16" s="136" t="n"/>
      <c r="G16" s="136" t="n"/>
      <c r="H16" s="136" t="n"/>
      <c r="I16" s="137" t="n"/>
    </row>
    <row r="17" ht="15" customHeight="1" s="134">
      <c r="A17" s="160" t="inlineStr">
        <is>
          <t>序</t>
        </is>
      </c>
      <c r="B17" s="160" t="inlineStr">
        <is>
          <t>日期</t>
        </is>
      </c>
      <c r="C17" s="160" t="inlineStr">
        <is>
          <t>台幣轉匯</t>
        </is>
      </c>
      <c r="D17" s="160" t="inlineStr">
        <is>
          <t>美金轉匯</t>
        </is>
      </c>
      <c r="E17" s="160" t="inlineStr">
        <is>
          <t>實際收入</t>
        </is>
      </c>
      <c r="F17" s="160" t="inlineStr">
        <is>
          <t>標的</t>
        </is>
      </c>
      <c r="G17" s="160" t="inlineStr">
        <is>
          <t>股數</t>
        </is>
      </c>
      <c r="H17" s="160" t="inlineStr">
        <is>
          <t>價格</t>
        </is>
      </c>
      <c r="I17" s="160" t="inlineStr">
        <is>
          <t>證券商</t>
        </is>
      </c>
    </row>
    <row r="18" ht="15" customHeight="1" s="134">
      <c r="A18" s="46" t="n">
        <v>1</v>
      </c>
      <c r="B18" s="53" t="inlineStr">
        <is>
          <t>1150525</t>
        </is>
      </c>
      <c r="C18" s="252" t="n">
        <v>17697</v>
      </c>
      <c r="D18" s="195" t="n"/>
      <c r="E18" s="249" t="n">
        <v>17697</v>
      </c>
      <c r="F18" s="53" t="inlineStr">
        <is>
          <t>00989A</t>
        </is>
      </c>
      <c r="G18" s="279" t="n">
        <v>1000</v>
      </c>
      <c r="H18" s="280" t="n">
        <v>17.74</v>
      </c>
      <c r="I18" s="46" t="inlineStr">
        <is>
          <t>永豐金</t>
        </is>
      </c>
    </row>
    <row r="19" ht="15" customHeight="1" s="134">
      <c r="A19" s="46" t="n">
        <v>2</v>
      </c>
      <c r="B19" s="53" t="inlineStr">
        <is>
          <t>1150528</t>
        </is>
      </c>
      <c r="C19" s="252" t="n">
        <v>147196</v>
      </c>
      <c r="D19" s="249" t="n">
        <v>4682.84</v>
      </c>
      <c r="E19" s="195" t="n"/>
      <c r="F19" s="53" t="inlineStr">
        <is>
          <t>OKLO</t>
        </is>
      </c>
      <c r="G19" s="279" t="n">
        <v>67</v>
      </c>
      <c r="H19" s="280" t="n">
        <v>70</v>
      </c>
      <c r="I19" s="46" t="inlineStr">
        <is>
          <t>永豐金</t>
        </is>
      </c>
    </row>
    <row r="20" ht="15" customHeight="1" s="134">
      <c r="A20" s="46" t="n">
        <v>3</v>
      </c>
      <c r="B20" s="53" t="inlineStr">
        <is>
          <t>1150724</t>
        </is>
      </c>
      <c r="C20" s="252" t="n">
        <v>11600</v>
      </c>
      <c r="D20" s="195" t="n"/>
      <c r="E20" s="249" t="n">
        <v>11600</v>
      </c>
      <c r="F20" s="53" t="inlineStr">
        <is>
          <t>NLR</t>
        </is>
      </c>
      <c r="G20" s="279" t="n">
        <v>100</v>
      </c>
      <c r="H20" s="280" t="n">
        <v>116.5</v>
      </c>
      <c r="I20" s="46" t="inlineStr">
        <is>
          <t>永豐金</t>
        </is>
      </c>
    </row>
    <row r="21" ht="16.5" customHeight="1" s="134">
      <c r="A21" s="168" t="inlineStr">
        <is>
          <t>共收入金額(台幣)</t>
        </is>
      </c>
      <c r="B21" s="142" t="n"/>
      <c r="C21" s="172">
        <f>SUM(C18:C20)</f>
        <v/>
      </c>
      <c r="D21" s="155" t="n"/>
      <c r="E21" s="155" t="n"/>
      <c r="F21" s="155" t="n"/>
      <c r="G21" s="155" t="n"/>
      <c r="H21" s="155" t="n"/>
      <c r="I21" s="155" t="n"/>
    </row>
    <row r="22"/>
    <row r="23" ht="21.75" customHeight="1" s="134">
      <c r="A23" s="135" t="inlineStr">
        <is>
          <t>小結</t>
        </is>
      </c>
      <c r="B23" s="136" t="n"/>
      <c r="C23" s="136" t="n"/>
      <c r="D23" s="136" t="n"/>
      <c r="E23" s="136" t="n"/>
      <c r="F23" s="136" t="n"/>
      <c r="G23" s="136" t="n"/>
      <c r="H23" s="136" t="n"/>
      <c r="I23" s="137" t="n"/>
    </row>
    <row r="24" ht="15" customHeight="1" s="134">
      <c r="A24" s="168" t="inlineStr">
        <is>
          <t>市場上剩餘金額</t>
        </is>
      </c>
      <c r="B24" s="142" t="n"/>
      <c r="C24" s="172">
        <f>C14-C21</f>
        <v/>
      </c>
      <c r="D24" s="208" t="inlineStr">
        <is>
          <t>＝共投入金額－共收入金額（尚未實現部位的成本估算）</t>
        </is>
      </c>
      <c r="E24" s="141" t="n"/>
      <c r="F24" s="141" t="n"/>
      <c r="G24" s="141" t="n"/>
      <c r="H24" s="141" t="n"/>
      <c r="I24" s="142" t="n"/>
    </row>
    <row r="25"/>
    <row r="26" ht="21.75" customHeight="1" s="134">
      <c r="A26" s="135" t="inlineStr">
        <is>
          <t>💡 使用說明</t>
        </is>
      </c>
      <c r="B26" s="136" t="n"/>
      <c r="C26" s="136" t="n"/>
      <c r="D26" s="136" t="n"/>
      <c r="E26" s="136" t="n"/>
      <c r="F26" s="136" t="n"/>
      <c r="G26" s="136" t="n"/>
      <c r="H26" s="136" t="n"/>
      <c r="I26" s="137" t="n"/>
    </row>
    <row r="27" ht="27.75" customHeight="1" s="134">
      <c r="B27" s="138" t="inlineStr">
        <is>
          <t>本表為高風險個股投機部位（OKLO、NLR核能概念股），與主要基金部位分開追蹤。日期格式為民國年月日（如1141001＝114年10月01日）。</t>
        </is>
      </c>
    </row>
  </sheetData>
  <mergeCells count="10">
    <mergeCell ref="D24:I24"/>
    <mergeCell ref="A21:B21"/>
    <mergeCell ref="A24:B24"/>
    <mergeCell ref="A1:I1"/>
    <mergeCell ref="A23:I23"/>
    <mergeCell ref="A14:B14"/>
    <mergeCell ref="A3:I3"/>
    <mergeCell ref="B27:I27"/>
    <mergeCell ref="A26:I26"/>
    <mergeCell ref="A16:I16"/>
  </mergeCells>
  <printOptions horizontalCentered="1"/>
  <pageMargins left="0.4" right="0.4" top="0.5" bottom="0.5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2026-09-12T06:19:08Z</dcterms:created>
  <dcterms:modified xmlns:dcterms="http://purl.org/dc/terms/" xmlns:xsi="http://www.w3.org/2001/XMLSchema-instance" xsi:type="dcterms:W3CDTF">2026-09-18T04:14:26Z</dcterms:modified>
  <cp:lastModifiedBy>Norris Pan</cp:lastModifiedBy>
  <cp:revision>0</cp:revision>
</cp:coreProperties>
</file>